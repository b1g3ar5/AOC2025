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xample0" sheetId="1" state="visible" r:id="rId2"/>
    <sheet name="Example1" sheetId="2" state="visible" r:id="rId3"/>
    <sheet name="Example2" sheetId="3" state="visible" r:id="rId4"/>
    <sheet name="Example3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<sst xmlns="http://schemas.openxmlformats.org/spreadsheetml/2006/main" count="22" uniqueCount="18">
  <si>
    <t xml:space="preserve">Machines2!!0</t>
  </si>
  <si>
    <t xml:space="preserve">(0,1,2) (0,2,4,5) (3,5) (2,4,5) (0,1,3,4) (0,2,4) (5) {21,18,30,14,34,40}</t>
  </si>
  <si>
    <t xml:space="preserve">A^T</t>
  </si>
  <si>
    <t xml:space="preserve">A^T*A</t>
  </si>
  <si>
    <t xml:space="preserve">rank</t>
  </si>
  <si>
    <t xml:space="preserve">determinant</t>
  </si>
  <si>
    <t xml:space="preserve">Machines2!!1</t>
  </si>
  <si>
    <t xml:space="preserve">(0,4,5,6) (1,3,6) (0,1,2,3,4,5,6) (0,3,6,7) (1,2,3,4,6,7) (1,2,4,5) {206,71,52,235,56,42,239,196}</t>
  </si>
  <si>
    <t xml:space="preserve">0456</t>
  </si>
  <si>
    <t xml:space="preserve">136</t>
  </si>
  <si>
    <t xml:space="preserve">0123456</t>
  </si>
  <si>
    <t xml:space="preserve">0367</t>
  </si>
  <si>
    <t xml:space="preserve">123467</t>
  </si>
  <si>
    <t xml:space="preserve">1245</t>
  </si>
  <si>
    <t xml:space="preserve">(3) (0,3,4,5,7) (2,3,7) (0,2,5) (1,2,4,5,7) (4,6,7) (0,1,2,4,5,6) (0,2,3,4,6) (3,4,6) {29,11,38,45,45,33,27,54}</t>
  </si>
  <si>
    <t xml:space="preserve">*</t>
  </si>
  <si>
    <t xml:space="preserve">Solution</t>
  </si>
  <si>
    <t xml:space="preserve">Check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</si>
</sst>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General"/>
    <numFmt numFmtId="167" formatCode="#,##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true" showRowColHeaders="true" showZeros="true" rightToLeft="false" tabSelected="false" showOutlineSymbols="true" defaultGridColor="true" view="normal" topLeftCell="A1" colorId="64" zoomScale="148" zoomScaleNormal="148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J3" s="0" t="s">
        <v>2</v>
      </c>
    </row>
    <row r="4" customFormat="false" ht="12.8" hidden="false" customHeight="false" outlineLevel="0" collapsed="false">
      <c r="A4" s="0" t="n">
        <v>1</v>
      </c>
      <c r="B4" s="0" t="n">
        <v>1</v>
      </c>
      <c r="C4" s="0" t="n">
        <v>0</v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21</v>
      </c>
      <c r="J4" s="0" t="n">
        <f aca="false" t="array" ref="J4:O10">TRANSPOSE(A4:G9)</f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</row>
    <row r="5" customFormat="false" ht="12.8" hidden="false" customHeight="false" outlineLevel="0" collapsed="false">
      <c r="A5" s="0" t="n">
        <v>1</v>
      </c>
      <c r="B5" s="0" t="n">
        <v>0</v>
      </c>
      <c r="C5" s="0" t="n">
        <v>0</v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18</v>
      </c>
      <c r="J5" s="0" t="n">
        <v>1</v>
      </c>
      <c r="K5" s="0" t="n">
        <v>0</v>
      </c>
      <c r="L5" s="0" t="n">
        <v>1</v>
      </c>
      <c r="M5" s="0" t="n">
        <v>0</v>
      </c>
      <c r="N5" s="0" t="n">
        <v>1</v>
      </c>
      <c r="O5" s="0" t="n">
        <v>1</v>
      </c>
    </row>
    <row r="6" customFormat="false" ht="12.8" hidden="false" customHeight="false" outlineLevel="0" collapsed="false">
      <c r="A6" s="0" t="n">
        <v>1</v>
      </c>
      <c r="B6" s="0" t="n">
        <v>1</v>
      </c>
      <c r="C6" s="0" t="n">
        <v>0</v>
      </c>
      <c r="D6" s="0" t="n">
        <v>1</v>
      </c>
      <c r="E6" s="0" t="n">
        <v>0</v>
      </c>
      <c r="F6" s="0" t="n">
        <v>1</v>
      </c>
      <c r="G6" s="0" t="n">
        <v>0</v>
      </c>
      <c r="H6" s="0" t="n">
        <v>30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1</v>
      </c>
    </row>
    <row r="7" customFormat="false" ht="12.8" hidden="false" customHeight="false" outlineLevel="0" collapsed="false">
      <c r="A7" s="0" t="n">
        <v>0</v>
      </c>
      <c r="B7" s="0" t="n">
        <v>0</v>
      </c>
      <c r="C7" s="0" t="n">
        <v>1</v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14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1</v>
      </c>
      <c r="O7" s="0" t="n">
        <v>1</v>
      </c>
    </row>
    <row r="8" customFormat="false" ht="12.8" hidden="false" customHeight="false" outlineLevel="0" collapsed="false">
      <c r="A8" s="0" t="n">
        <v>0</v>
      </c>
      <c r="B8" s="0" t="n">
        <v>1</v>
      </c>
      <c r="C8" s="0" t="n">
        <v>0</v>
      </c>
      <c r="D8" s="0" t="n">
        <v>1</v>
      </c>
      <c r="E8" s="0" t="n">
        <v>1</v>
      </c>
      <c r="F8" s="0" t="n">
        <v>1</v>
      </c>
      <c r="G8" s="0" t="n">
        <v>0</v>
      </c>
      <c r="H8" s="0" t="n">
        <v>34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</row>
    <row r="9" customFormat="false" ht="12.8" hidden="false" customHeight="false" outlineLevel="0" collapsed="false">
      <c r="A9" s="0" t="n">
        <v>0</v>
      </c>
      <c r="B9" s="0" t="n">
        <v>1</v>
      </c>
      <c r="C9" s="0" t="n">
        <v>1</v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40</v>
      </c>
      <c r="J9" s="0" t="n">
        <v>1</v>
      </c>
      <c r="K9" s="0" t="n">
        <v>0</v>
      </c>
      <c r="L9" s="0" t="n">
        <v>1</v>
      </c>
      <c r="M9" s="0" t="n">
        <v>0</v>
      </c>
      <c r="N9" s="0" t="n">
        <v>1</v>
      </c>
      <c r="O9" s="0" t="n">
        <v>0</v>
      </c>
    </row>
    <row r="10" customFormat="false" ht="12.8" hidden="false" customHeight="false" outlineLevel="0" collapsed="false"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1</v>
      </c>
    </row>
    <row r="11" customFormat="false" ht="12.8" hidden="false" customHeight="false" outlineLevel="0" collapsed="false">
      <c r="A11" s="0" t="n">
        <f aca="false">A4-A5</f>
        <v>0</v>
      </c>
      <c r="B11" s="0" t="n">
        <f aca="false">B4-B5</f>
        <v>1</v>
      </c>
      <c r="C11" s="0" t="n">
        <f aca="false">C4-C5</f>
        <v>0</v>
      </c>
      <c r="D11" s="0" t="n">
        <f aca="false">D4-D5</f>
        <v>0</v>
      </c>
      <c r="E11" s="0" t="n">
        <f aca="false">E4-E5</f>
        <v>0</v>
      </c>
      <c r="F11" s="0" t="n">
        <f aca="false">F4-F5</f>
        <v>1</v>
      </c>
      <c r="G11" s="0" t="n">
        <f aca="false">G4-G5</f>
        <v>0</v>
      </c>
      <c r="H11" s="0" t="n">
        <f aca="false">H4-H5</f>
        <v>3</v>
      </c>
    </row>
    <row r="12" customFormat="false" ht="12.8" hidden="false" customHeight="false" outlineLevel="0" collapsed="false">
      <c r="A12" s="0" t="n">
        <f aca="false">A5</f>
        <v>1</v>
      </c>
      <c r="B12" s="0" t="n">
        <f aca="false">B5</f>
        <v>0</v>
      </c>
      <c r="C12" s="0" t="n">
        <f aca="false">C5</f>
        <v>0</v>
      </c>
      <c r="D12" s="0" t="n">
        <f aca="false">D5</f>
        <v>0</v>
      </c>
      <c r="E12" s="0" t="n">
        <f aca="false">E5</f>
        <v>1</v>
      </c>
      <c r="F12" s="0" t="n">
        <f aca="false">F5</f>
        <v>0</v>
      </c>
      <c r="G12" s="0" t="n">
        <f aca="false">G5</f>
        <v>0</v>
      </c>
      <c r="H12" s="0" t="n">
        <f aca="false">H5</f>
        <v>18</v>
      </c>
      <c r="J12" s="0" t="s">
        <v>3</v>
      </c>
    </row>
    <row r="13" customFormat="false" ht="12.8" hidden="false" customHeight="false" outlineLevel="0" collapsed="false">
      <c r="A13" s="0" t="n">
        <f aca="false">A6-A5</f>
        <v>0</v>
      </c>
      <c r="B13" s="0" t="n">
        <f aca="false">B6-B5</f>
        <v>1</v>
      </c>
      <c r="C13" s="0" t="n">
        <f aca="false">C6-C5</f>
        <v>0</v>
      </c>
      <c r="D13" s="0" t="n">
        <f aca="false">D6-D5</f>
        <v>1</v>
      </c>
      <c r="E13" s="0" t="n">
        <f aca="false">E6-E5</f>
        <v>-1</v>
      </c>
      <c r="F13" s="0" t="n">
        <f aca="false">F6-F5</f>
        <v>1</v>
      </c>
      <c r="G13" s="0" t="n">
        <f aca="false">G6-G5</f>
        <v>0</v>
      </c>
      <c r="H13" s="0" t="n">
        <f aca="false">H6-H5</f>
        <v>12</v>
      </c>
      <c r="J13" s="0" t="n">
        <f aca="false" t="array" ref="J13:P19">MMULT(J4:O10,A4:G9)</f>
        <v>3</v>
      </c>
      <c r="K13" s="0" t="n">
        <v>2</v>
      </c>
      <c r="L13" s="0" t="n">
        <v>0</v>
      </c>
      <c r="M13" s="0" t="n">
        <v>1</v>
      </c>
      <c r="N13" s="0" t="n">
        <v>2</v>
      </c>
      <c r="O13" s="0" t="n">
        <v>2</v>
      </c>
      <c r="P13" s="0" t="n">
        <v>0</v>
      </c>
    </row>
    <row r="14" customFormat="false" ht="12.8" hidden="false" customHeight="false" outlineLevel="0" collapsed="false">
      <c r="A14" s="0" t="n">
        <f aca="false">A7</f>
        <v>0</v>
      </c>
      <c r="B14" s="0" t="n">
        <f aca="false">B7</f>
        <v>0</v>
      </c>
      <c r="C14" s="0" t="n">
        <f aca="false">C7</f>
        <v>1</v>
      </c>
      <c r="D14" s="0" t="n">
        <f aca="false">D7</f>
        <v>0</v>
      </c>
      <c r="E14" s="0" t="n">
        <f aca="false">E7</f>
        <v>1</v>
      </c>
      <c r="F14" s="0" t="n">
        <f aca="false">F7</f>
        <v>0</v>
      </c>
      <c r="G14" s="0" t="n">
        <f aca="false">G7</f>
        <v>0</v>
      </c>
      <c r="H14" s="0" t="n">
        <f aca="false">H7</f>
        <v>14</v>
      </c>
      <c r="J14" s="0" t="n">
        <v>2</v>
      </c>
      <c r="K14" s="0" t="n">
        <v>4</v>
      </c>
      <c r="L14" s="0" t="n">
        <v>1</v>
      </c>
      <c r="M14" s="0" t="n">
        <v>3</v>
      </c>
      <c r="N14" s="0" t="n">
        <v>2</v>
      </c>
      <c r="O14" s="0" t="n">
        <v>3</v>
      </c>
      <c r="P14" s="0" t="n">
        <v>1</v>
      </c>
    </row>
    <row r="15" customFormat="false" ht="12.8" hidden="false" customHeight="false" outlineLevel="0" collapsed="false">
      <c r="A15" s="0" t="n">
        <f aca="false">A8-A11</f>
        <v>0</v>
      </c>
      <c r="B15" s="0" t="n">
        <f aca="false">B8-B11</f>
        <v>0</v>
      </c>
      <c r="C15" s="0" t="n">
        <f aca="false">C8-C11</f>
        <v>0</v>
      </c>
      <c r="D15" s="0" t="n">
        <f aca="false">D8-D11</f>
        <v>1</v>
      </c>
      <c r="E15" s="0" t="n">
        <f aca="false">E8-E11</f>
        <v>1</v>
      </c>
      <c r="F15" s="0" t="n">
        <f aca="false">F8-F11</f>
        <v>0</v>
      </c>
      <c r="G15" s="0" t="n">
        <f aca="false">G8-G11</f>
        <v>0</v>
      </c>
      <c r="H15" s="0" t="n">
        <f aca="false">H8-H11</f>
        <v>31</v>
      </c>
      <c r="J15" s="0" t="n">
        <v>0</v>
      </c>
      <c r="K15" s="0" t="n">
        <v>1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1</v>
      </c>
    </row>
    <row r="16" customFormat="false" ht="12.8" hidden="false" customHeight="false" outlineLevel="0" collapsed="false">
      <c r="A16" s="0" t="n">
        <f aca="false">A9-A8</f>
        <v>0</v>
      </c>
      <c r="B16" s="0" t="n">
        <f aca="false">B9-B8</f>
        <v>0</v>
      </c>
      <c r="C16" s="0" t="n">
        <f aca="false">C9-C8</f>
        <v>1</v>
      </c>
      <c r="D16" s="0" t="n">
        <f aca="false">D9-D8</f>
        <v>0</v>
      </c>
      <c r="E16" s="0" t="n">
        <f aca="false">E9-E8</f>
        <v>-1</v>
      </c>
      <c r="F16" s="0" t="n">
        <f aca="false">F9-F8</f>
        <v>-1</v>
      </c>
      <c r="G16" s="0" t="n">
        <f aca="false">G9-G8</f>
        <v>1</v>
      </c>
      <c r="H16" s="0" t="n">
        <f aca="false">H9-H8</f>
        <v>6</v>
      </c>
      <c r="J16" s="0" t="n">
        <v>1</v>
      </c>
      <c r="K16" s="0" t="n">
        <v>3</v>
      </c>
      <c r="L16" s="0" t="n">
        <v>1</v>
      </c>
      <c r="M16" s="0" t="n">
        <v>3</v>
      </c>
      <c r="N16" s="0" t="n">
        <v>1</v>
      </c>
      <c r="O16" s="0" t="n">
        <v>2</v>
      </c>
      <c r="P16" s="0" t="n">
        <v>1</v>
      </c>
    </row>
    <row r="17" customFormat="false" ht="12.8" hidden="false" customHeight="false" outlineLevel="0" collapsed="false">
      <c r="J17" s="0" t="n">
        <v>2</v>
      </c>
      <c r="K17" s="0" t="n">
        <v>2</v>
      </c>
      <c r="L17" s="0" t="n">
        <v>1</v>
      </c>
      <c r="M17" s="0" t="n">
        <v>1</v>
      </c>
      <c r="N17" s="0" t="n">
        <v>4</v>
      </c>
      <c r="O17" s="0" t="n">
        <v>2</v>
      </c>
      <c r="P17" s="0" t="n">
        <v>0</v>
      </c>
    </row>
    <row r="18" customFormat="false" ht="12.8" hidden="false" customHeight="false" outlineLevel="0" collapsed="false">
      <c r="A18" s="0" t="n">
        <f aca="false">A11</f>
        <v>0</v>
      </c>
      <c r="B18" s="0" t="n">
        <f aca="false">B11</f>
        <v>1</v>
      </c>
      <c r="C18" s="0" t="n">
        <f aca="false">C11</f>
        <v>0</v>
      </c>
      <c r="D18" s="0" t="n">
        <f aca="false">D11</f>
        <v>0</v>
      </c>
      <c r="E18" s="0" t="n">
        <f aca="false">E11</f>
        <v>0</v>
      </c>
      <c r="F18" s="0" t="n">
        <f aca="false">F11</f>
        <v>1</v>
      </c>
      <c r="G18" s="0" t="n">
        <f aca="false">G11</f>
        <v>0</v>
      </c>
      <c r="H18" s="0" t="n">
        <f aca="false">H11</f>
        <v>3</v>
      </c>
      <c r="J18" s="0" t="n">
        <v>2</v>
      </c>
      <c r="K18" s="0" t="n">
        <v>3</v>
      </c>
      <c r="L18" s="0" t="n">
        <v>0</v>
      </c>
      <c r="M18" s="0" t="n">
        <v>2</v>
      </c>
      <c r="N18" s="0" t="n">
        <v>2</v>
      </c>
      <c r="O18" s="0" t="n">
        <v>3</v>
      </c>
      <c r="P18" s="0" t="n">
        <v>0</v>
      </c>
    </row>
    <row r="19" customFormat="false" ht="12.8" hidden="false" customHeight="false" outlineLevel="0" collapsed="false">
      <c r="A19" s="0" t="n">
        <f aca="false">A12</f>
        <v>1</v>
      </c>
      <c r="B19" s="0" t="n">
        <f aca="false">B12</f>
        <v>0</v>
      </c>
      <c r="C19" s="0" t="n">
        <f aca="false">C12</f>
        <v>0</v>
      </c>
      <c r="D19" s="0" t="n">
        <f aca="false">D12</f>
        <v>0</v>
      </c>
      <c r="E19" s="0" t="n">
        <f aca="false">E12</f>
        <v>1</v>
      </c>
      <c r="F19" s="0" t="n">
        <f aca="false">F12</f>
        <v>0</v>
      </c>
      <c r="G19" s="0" t="n">
        <f aca="false">G12</f>
        <v>0</v>
      </c>
      <c r="H19" s="0" t="n">
        <f aca="false">H12</f>
        <v>18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1</v>
      </c>
    </row>
    <row r="20" customFormat="false" ht="12.8" hidden="false" customHeight="false" outlineLevel="0" collapsed="false">
      <c r="A20" s="0" t="n">
        <f aca="false">A13-A11</f>
        <v>0</v>
      </c>
      <c r="B20" s="0" t="n">
        <f aca="false">B13-B11</f>
        <v>0</v>
      </c>
      <c r="C20" s="0" t="n">
        <f aca="false">C13-C11</f>
        <v>0</v>
      </c>
      <c r="D20" s="0" t="n">
        <f aca="false">D13-D11</f>
        <v>1</v>
      </c>
      <c r="E20" s="0" t="n">
        <f aca="false">E13-E11</f>
        <v>-1</v>
      </c>
      <c r="F20" s="0" t="n">
        <f aca="false">F13-F11</f>
        <v>0</v>
      </c>
      <c r="G20" s="0" t="n">
        <f aca="false">G13-G11</f>
        <v>0</v>
      </c>
      <c r="H20" s="0" t="n">
        <f aca="false">H13-H11</f>
        <v>9</v>
      </c>
    </row>
    <row r="21" customFormat="false" ht="12.8" hidden="false" customHeight="false" outlineLevel="0" collapsed="false">
      <c r="A21" s="0" t="n">
        <f aca="false">A14-A16</f>
        <v>0</v>
      </c>
      <c r="B21" s="0" t="n">
        <f aca="false">B14-B16</f>
        <v>0</v>
      </c>
      <c r="C21" s="0" t="n">
        <f aca="false">C14-C16</f>
        <v>0</v>
      </c>
      <c r="D21" s="0" t="n">
        <f aca="false">D14-D16</f>
        <v>0</v>
      </c>
      <c r="E21" s="0" t="n">
        <f aca="false">E14-E16</f>
        <v>2</v>
      </c>
      <c r="F21" s="0" t="n">
        <f aca="false">F14-F16</f>
        <v>1</v>
      </c>
      <c r="G21" s="0" t="n">
        <f aca="false">G14-G16</f>
        <v>-1</v>
      </c>
      <c r="H21" s="0" t="n">
        <f aca="false">H14-H16</f>
        <v>8</v>
      </c>
      <c r="M21" s="0" t="s">
        <v>4</v>
      </c>
      <c r="N21" s="0" t="e">
        <f aca="false">RANK(J13:P19)</f>
        <v>#VALUE!</v>
      </c>
      <c r="O21" s="0" t="s">
        <v>5</v>
      </c>
      <c r="P21" s="1" t="n">
        <f aca="false">MDETERM(J13:P19)</f>
        <v>-1.4432899320127E-015</v>
      </c>
    </row>
    <row r="22" customFormat="false" ht="12.8" hidden="false" customHeight="false" outlineLevel="0" collapsed="false">
      <c r="A22" s="0" t="n">
        <f aca="false">A15-A20</f>
        <v>0</v>
      </c>
      <c r="B22" s="0" t="n">
        <f aca="false">B15-B20</f>
        <v>0</v>
      </c>
      <c r="C22" s="0" t="n">
        <f aca="false">C15-C20</f>
        <v>0</v>
      </c>
      <c r="D22" s="0" t="n">
        <f aca="false">D15-D20</f>
        <v>0</v>
      </c>
      <c r="E22" s="0" t="n">
        <f aca="false">E15-E20</f>
        <v>2</v>
      </c>
      <c r="F22" s="0" t="n">
        <f aca="false">F15-F20</f>
        <v>0</v>
      </c>
      <c r="G22" s="0" t="n">
        <f aca="false">G15-G20</f>
        <v>0</v>
      </c>
      <c r="H22" s="0" t="n">
        <f aca="false">H15-H20</f>
        <v>22</v>
      </c>
    </row>
    <row r="23" customFormat="false" ht="12.8" hidden="false" customHeight="false" outlineLevel="0" collapsed="false">
      <c r="A23" s="0" t="n">
        <f aca="false">A16</f>
        <v>0</v>
      </c>
      <c r="B23" s="0" t="n">
        <f aca="false">B16</f>
        <v>0</v>
      </c>
      <c r="C23" s="0" t="n">
        <f aca="false">C16</f>
        <v>1</v>
      </c>
      <c r="D23" s="0" t="n">
        <f aca="false">D16</f>
        <v>0</v>
      </c>
      <c r="E23" s="0" t="n">
        <f aca="false">E16</f>
        <v>-1</v>
      </c>
      <c r="F23" s="0" t="n">
        <f aca="false">F16</f>
        <v>-1</v>
      </c>
      <c r="G23" s="0" t="n">
        <f aca="false">G16</f>
        <v>1</v>
      </c>
      <c r="H23" s="0" t="n">
        <f aca="false">H16</f>
        <v>6</v>
      </c>
    </row>
    <row r="25" customFormat="false" ht="12.8" hidden="false" customHeight="false" outlineLevel="0" collapsed="false">
      <c r="A25" s="0" t="n">
        <f aca="false">A19</f>
        <v>1</v>
      </c>
      <c r="B25" s="0" t="n">
        <f aca="false">B19</f>
        <v>0</v>
      </c>
      <c r="C25" s="0" t="n">
        <f aca="false">C19</f>
        <v>0</v>
      </c>
      <c r="D25" s="0" t="n">
        <f aca="false">D19</f>
        <v>0</v>
      </c>
      <c r="E25" s="0" t="n">
        <f aca="false">E19</f>
        <v>1</v>
      </c>
      <c r="F25" s="0" t="n">
        <f aca="false">F19</f>
        <v>0</v>
      </c>
      <c r="G25" s="0" t="n">
        <f aca="false">G19</f>
        <v>0</v>
      </c>
      <c r="H25" s="0" t="n">
        <f aca="false">H19</f>
        <v>18</v>
      </c>
    </row>
    <row r="26" customFormat="false" ht="12.8" hidden="false" customHeight="false" outlineLevel="0" collapsed="false">
      <c r="A26" s="0" t="n">
        <f aca="false">A18</f>
        <v>0</v>
      </c>
      <c r="B26" s="0" t="n">
        <f aca="false">B18</f>
        <v>1</v>
      </c>
      <c r="C26" s="0" t="n">
        <f aca="false">C18</f>
        <v>0</v>
      </c>
      <c r="D26" s="0" t="n">
        <f aca="false">D18</f>
        <v>0</v>
      </c>
      <c r="E26" s="0" t="n">
        <f aca="false">E18</f>
        <v>0</v>
      </c>
      <c r="F26" s="0" t="n">
        <f aca="false">F18</f>
        <v>1</v>
      </c>
      <c r="G26" s="0" t="n">
        <f aca="false">G18</f>
        <v>0</v>
      </c>
      <c r="H26" s="0" t="n">
        <f aca="false">H18</f>
        <v>3</v>
      </c>
    </row>
    <row r="27" customFormat="false" ht="12.8" hidden="false" customHeight="false" outlineLevel="0" collapsed="false">
      <c r="A27" s="0" t="n">
        <f aca="false">A23</f>
        <v>0</v>
      </c>
      <c r="B27" s="0" t="n">
        <f aca="false">B23</f>
        <v>0</v>
      </c>
      <c r="C27" s="0" t="n">
        <f aca="false">C23</f>
        <v>1</v>
      </c>
      <c r="D27" s="0" t="n">
        <f aca="false">D23</f>
        <v>0</v>
      </c>
      <c r="E27" s="0" t="n">
        <f aca="false">E23</f>
        <v>-1</v>
      </c>
      <c r="F27" s="0" t="n">
        <f aca="false">F23</f>
        <v>-1</v>
      </c>
      <c r="G27" s="0" t="n">
        <f aca="false">G23</f>
        <v>1</v>
      </c>
      <c r="H27" s="0" t="n">
        <f aca="false">H23</f>
        <v>6</v>
      </c>
    </row>
    <row r="28" customFormat="false" ht="12.8" hidden="false" customHeight="false" outlineLevel="0" collapsed="false">
      <c r="A28" s="0" t="n">
        <f aca="false">A20</f>
        <v>0</v>
      </c>
      <c r="B28" s="0" t="n">
        <f aca="false">B20</f>
        <v>0</v>
      </c>
      <c r="C28" s="0" t="n">
        <f aca="false">C20</f>
        <v>0</v>
      </c>
      <c r="D28" s="0" t="n">
        <f aca="false">D20</f>
        <v>1</v>
      </c>
      <c r="E28" s="0" t="n">
        <f aca="false">E20</f>
        <v>-1</v>
      </c>
      <c r="F28" s="0" t="n">
        <f aca="false">F20</f>
        <v>0</v>
      </c>
      <c r="G28" s="0" t="n">
        <f aca="false">G20</f>
        <v>0</v>
      </c>
      <c r="H28" s="0" t="n">
        <f aca="false">H20</f>
        <v>9</v>
      </c>
    </row>
    <row r="29" customFormat="false" ht="12.8" hidden="false" customHeight="false" outlineLevel="0" collapsed="false">
      <c r="A29" s="0" t="n">
        <f aca="false">A22/2</f>
        <v>0</v>
      </c>
      <c r="B29" s="0" t="n">
        <f aca="false">B22/2</f>
        <v>0</v>
      </c>
      <c r="C29" s="0" t="n">
        <f aca="false">C22/2</f>
        <v>0</v>
      </c>
      <c r="D29" s="0" t="n">
        <f aca="false">D22/2</f>
        <v>0</v>
      </c>
      <c r="E29" s="0" t="n">
        <f aca="false">E22/2</f>
        <v>1</v>
      </c>
      <c r="F29" s="0" t="n">
        <f aca="false">F22/2</f>
        <v>0</v>
      </c>
      <c r="G29" s="0" t="n">
        <f aca="false">G22/2</f>
        <v>0</v>
      </c>
      <c r="H29" s="0" t="n">
        <f aca="false">H22/2</f>
        <v>11</v>
      </c>
    </row>
    <row r="30" customFormat="false" ht="12.8" hidden="false" customHeight="false" outlineLevel="0" collapsed="false">
      <c r="A30" s="0" t="n">
        <f aca="false">A21</f>
        <v>0</v>
      </c>
      <c r="B30" s="0" t="n">
        <f aca="false">B21</f>
        <v>0</v>
      </c>
      <c r="C30" s="0" t="n">
        <f aca="false">C21</f>
        <v>0</v>
      </c>
      <c r="D30" s="0" t="n">
        <f aca="false">D21</f>
        <v>0</v>
      </c>
      <c r="E30" s="0" t="n">
        <f aca="false">E21</f>
        <v>2</v>
      </c>
      <c r="F30" s="0" t="n">
        <f aca="false">F21</f>
        <v>1</v>
      </c>
      <c r="G30" s="0" t="n">
        <f aca="false">G21</f>
        <v>-1</v>
      </c>
      <c r="H30" s="0" t="n">
        <f aca="false">H21</f>
        <v>8</v>
      </c>
    </row>
    <row r="32" customFormat="false" ht="12.8" hidden="false" customHeight="false" outlineLevel="0" collapsed="false">
      <c r="A32" s="0" t="n">
        <f aca="false">A25-A29</f>
        <v>1</v>
      </c>
      <c r="B32" s="0" t="n">
        <f aca="false">B25-B29</f>
        <v>0</v>
      </c>
      <c r="C32" s="0" t="n">
        <f aca="false">C25-C29</f>
        <v>0</v>
      </c>
      <c r="D32" s="0" t="n">
        <f aca="false">D25-D29</f>
        <v>0</v>
      </c>
      <c r="E32" s="0" t="n">
        <f aca="false">E25-E29</f>
        <v>0</v>
      </c>
      <c r="F32" s="0" t="n">
        <f aca="false">F25-F29</f>
        <v>0</v>
      </c>
      <c r="G32" s="0" t="n">
        <f aca="false">G25-G29</f>
        <v>0</v>
      </c>
      <c r="H32" s="0" t="n">
        <f aca="false">H25-H29</f>
        <v>7</v>
      </c>
    </row>
    <row r="33" customFormat="false" ht="12.8" hidden="false" customHeight="false" outlineLevel="0" collapsed="false">
      <c r="A33" s="0" t="n">
        <f aca="false">A26</f>
        <v>0</v>
      </c>
      <c r="B33" s="0" t="n">
        <f aca="false">B26</f>
        <v>1</v>
      </c>
      <c r="C33" s="0" t="n">
        <f aca="false">C26</f>
        <v>0</v>
      </c>
      <c r="D33" s="0" t="n">
        <f aca="false">D26</f>
        <v>0</v>
      </c>
      <c r="E33" s="0" t="n">
        <f aca="false">E26</f>
        <v>0</v>
      </c>
      <c r="F33" s="0" t="n">
        <f aca="false">F26</f>
        <v>1</v>
      </c>
      <c r="G33" s="0" t="n">
        <f aca="false">G26</f>
        <v>0</v>
      </c>
      <c r="H33" s="0" t="n">
        <f aca="false">H26</f>
        <v>3</v>
      </c>
    </row>
    <row r="34" customFormat="false" ht="12.8" hidden="false" customHeight="false" outlineLevel="0" collapsed="false">
      <c r="A34" s="0" t="n">
        <f aca="false">A27-A29</f>
        <v>0</v>
      </c>
      <c r="B34" s="0" t="n">
        <f aca="false">B27-B29</f>
        <v>0</v>
      </c>
      <c r="C34" s="0" t="n">
        <f aca="false">C27-C29</f>
        <v>1</v>
      </c>
      <c r="D34" s="0" t="n">
        <f aca="false">D27-D29</f>
        <v>0</v>
      </c>
      <c r="E34" s="0" t="n">
        <f aca="false">E27-E29</f>
        <v>-2</v>
      </c>
      <c r="F34" s="0" t="n">
        <f aca="false">F27-F29</f>
        <v>-1</v>
      </c>
      <c r="G34" s="0" t="n">
        <f aca="false">G27-G29</f>
        <v>1</v>
      </c>
      <c r="H34" s="0" t="n">
        <f aca="false">H27-H29</f>
        <v>-5</v>
      </c>
    </row>
    <row r="35" customFormat="false" ht="12.8" hidden="false" customHeight="false" outlineLevel="0" collapsed="false">
      <c r="A35" s="0" t="n">
        <f aca="false">A28+A29</f>
        <v>0</v>
      </c>
      <c r="B35" s="0" t="n">
        <f aca="false">B28+B29</f>
        <v>0</v>
      </c>
      <c r="C35" s="0" t="n">
        <f aca="false">C28+C29</f>
        <v>0</v>
      </c>
      <c r="D35" s="0" t="n">
        <f aca="false">D28+D29</f>
        <v>1</v>
      </c>
      <c r="E35" s="0" t="n">
        <f aca="false">E28+E29</f>
        <v>0</v>
      </c>
      <c r="F35" s="0" t="n">
        <f aca="false">F28+F29</f>
        <v>0</v>
      </c>
      <c r="G35" s="0" t="n">
        <f aca="false">G28+G29</f>
        <v>0</v>
      </c>
      <c r="H35" s="0" t="n">
        <f aca="false">H28+H29</f>
        <v>20</v>
      </c>
    </row>
    <row r="36" customFormat="false" ht="12.8" hidden="false" customHeight="false" outlineLevel="0" collapsed="false">
      <c r="A36" s="0" t="n">
        <f aca="false">A29</f>
        <v>0</v>
      </c>
      <c r="B36" s="0" t="n">
        <f aca="false">B29</f>
        <v>0</v>
      </c>
      <c r="C36" s="0" t="n">
        <f aca="false">C29</f>
        <v>0</v>
      </c>
      <c r="D36" s="0" t="n">
        <f aca="false">D29</f>
        <v>0</v>
      </c>
      <c r="E36" s="0" t="n">
        <f aca="false">E29</f>
        <v>1</v>
      </c>
      <c r="F36" s="0" t="n">
        <f aca="false">F29</f>
        <v>0</v>
      </c>
      <c r="G36" s="0" t="n">
        <f aca="false">G29</f>
        <v>0</v>
      </c>
      <c r="H36" s="0" t="n">
        <f aca="false">H29</f>
        <v>11</v>
      </c>
    </row>
    <row r="37" customFormat="false" ht="12.8" hidden="false" customHeight="false" outlineLevel="0" collapsed="false">
      <c r="A37" s="0" t="n">
        <f aca="false">A30-2*A29</f>
        <v>0</v>
      </c>
      <c r="B37" s="0" t="n">
        <f aca="false">B30-2*B29</f>
        <v>0</v>
      </c>
      <c r="C37" s="0" t="n">
        <f aca="false">C30-2*C29</f>
        <v>0</v>
      </c>
      <c r="D37" s="0" t="n">
        <f aca="false">D30-2*D29</f>
        <v>0</v>
      </c>
      <c r="E37" s="0" t="n">
        <f aca="false">E30-2*E29</f>
        <v>0</v>
      </c>
      <c r="F37" s="0" t="n">
        <f aca="false">F30-2*F29</f>
        <v>1</v>
      </c>
      <c r="G37" s="0" t="n">
        <f aca="false">G30-2*G29</f>
        <v>-1</v>
      </c>
      <c r="H37" s="0" t="n">
        <f aca="false">H30-2*H29</f>
        <v>-14</v>
      </c>
    </row>
    <row r="39" customFormat="false" ht="12.8" hidden="false" customHeight="false" outlineLevel="0" collapsed="false">
      <c r="A39" s="0" t="n">
        <f aca="false">A32</f>
        <v>1</v>
      </c>
      <c r="B39" s="0" t="n">
        <f aca="false">B32</f>
        <v>0</v>
      </c>
      <c r="C39" s="0" t="n">
        <f aca="false">C32</f>
        <v>0</v>
      </c>
      <c r="D39" s="0" t="n">
        <f aca="false">D32</f>
        <v>0</v>
      </c>
      <c r="E39" s="0" t="n">
        <f aca="false">E32</f>
        <v>0</v>
      </c>
      <c r="F39" s="0" t="n">
        <f aca="false">F32</f>
        <v>0</v>
      </c>
      <c r="G39" s="0" t="n">
        <f aca="false">G32</f>
        <v>0</v>
      </c>
      <c r="H39" s="2" t="n">
        <f aca="false">H32</f>
        <v>7</v>
      </c>
    </row>
    <row r="40" customFormat="false" ht="12.8" hidden="false" customHeight="false" outlineLevel="0" collapsed="false">
      <c r="A40" s="0" t="n">
        <f aca="false">A33-A37</f>
        <v>0</v>
      </c>
      <c r="B40" s="0" t="n">
        <f aca="false">B33-B37</f>
        <v>1</v>
      </c>
      <c r="C40" s="0" t="n">
        <f aca="false">C33-C37</f>
        <v>0</v>
      </c>
      <c r="D40" s="0" t="n">
        <f aca="false">D33-D37</f>
        <v>0</v>
      </c>
      <c r="E40" s="0" t="n">
        <f aca="false">E33-E37</f>
        <v>0</v>
      </c>
      <c r="F40" s="0" t="n">
        <f aca="false">F33-F37</f>
        <v>0</v>
      </c>
      <c r="G40" s="0" t="n">
        <f aca="false">G33-G37</f>
        <v>1</v>
      </c>
      <c r="H40" s="0" t="n">
        <f aca="false">H33-H37</f>
        <v>17</v>
      </c>
    </row>
    <row r="41" customFormat="false" ht="12.8" hidden="false" customHeight="false" outlineLevel="0" collapsed="false">
      <c r="A41" s="0" t="n">
        <f aca="false">A34+2*A36+A37</f>
        <v>0</v>
      </c>
      <c r="B41" s="0" t="n">
        <f aca="false">B34+2*B36+B37</f>
        <v>0</v>
      </c>
      <c r="C41" s="0" t="n">
        <f aca="false">C34+2*C36+C37</f>
        <v>1</v>
      </c>
      <c r="D41" s="0" t="n">
        <f aca="false">D34+2*D36+D37</f>
        <v>0</v>
      </c>
      <c r="E41" s="0" t="n">
        <f aca="false">E34+2*E36+E37</f>
        <v>0</v>
      </c>
      <c r="F41" s="0" t="n">
        <f aca="false">F34+2*F36+F37</f>
        <v>0</v>
      </c>
      <c r="G41" s="0" t="n">
        <f aca="false">G34+2*G36+G37</f>
        <v>0</v>
      </c>
      <c r="H41" s="2" t="n">
        <f aca="false">H34+2*H36+H37</f>
        <v>3</v>
      </c>
    </row>
    <row r="42" customFormat="false" ht="12.8" hidden="false" customHeight="false" outlineLevel="0" collapsed="false">
      <c r="A42" s="0" t="n">
        <f aca="false">A35</f>
        <v>0</v>
      </c>
      <c r="B42" s="0" t="n">
        <f aca="false">B35</f>
        <v>0</v>
      </c>
      <c r="C42" s="0" t="n">
        <f aca="false">C35</f>
        <v>0</v>
      </c>
      <c r="D42" s="0" t="n">
        <f aca="false">D35</f>
        <v>1</v>
      </c>
      <c r="E42" s="0" t="n">
        <f aca="false">E35</f>
        <v>0</v>
      </c>
      <c r="F42" s="0" t="n">
        <f aca="false">F35</f>
        <v>0</v>
      </c>
      <c r="G42" s="0" t="n">
        <f aca="false">G35</f>
        <v>0</v>
      </c>
      <c r="H42" s="2" t="n">
        <f aca="false">H35</f>
        <v>20</v>
      </c>
    </row>
    <row r="43" customFormat="false" ht="12.8" hidden="false" customHeight="false" outlineLevel="0" collapsed="false">
      <c r="A43" s="0" t="n">
        <f aca="false">A36</f>
        <v>0</v>
      </c>
      <c r="B43" s="0" t="n">
        <f aca="false">B36</f>
        <v>0</v>
      </c>
      <c r="C43" s="0" t="n">
        <f aca="false">C36</f>
        <v>0</v>
      </c>
      <c r="D43" s="0" t="n">
        <f aca="false">D36</f>
        <v>0</v>
      </c>
      <c r="E43" s="0" t="n">
        <f aca="false">E36</f>
        <v>1</v>
      </c>
      <c r="F43" s="0" t="n">
        <f aca="false">F36</f>
        <v>0</v>
      </c>
      <c r="G43" s="0" t="n">
        <f aca="false">G36</f>
        <v>0</v>
      </c>
      <c r="H43" s="2" t="n">
        <f aca="false">H36</f>
        <v>11</v>
      </c>
    </row>
    <row r="44" customFormat="false" ht="12.8" hidden="false" customHeight="false" outlineLevel="0" collapsed="false">
      <c r="A44" s="0" t="n">
        <f aca="false">A37</f>
        <v>0</v>
      </c>
      <c r="B44" s="0" t="n">
        <f aca="false">B37</f>
        <v>0</v>
      </c>
      <c r="C44" s="0" t="n">
        <f aca="false">C37</f>
        <v>0</v>
      </c>
      <c r="D44" s="0" t="n">
        <f aca="false">D37</f>
        <v>0</v>
      </c>
      <c r="E44" s="0" t="n">
        <f aca="false">E37</f>
        <v>0</v>
      </c>
      <c r="F44" s="0" t="n">
        <f aca="false">F37</f>
        <v>1</v>
      </c>
      <c r="G44" s="0" t="n">
        <f aca="false">G37</f>
        <v>-1</v>
      </c>
      <c r="H44" s="0" t="n">
        <f aca="false">H37</f>
        <v>-14</v>
      </c>
    </row>
    <row r="46" customFormat="false" ht="12.8" hidden="false" customHeight="false" outlineLevel="0" collapsed="false">
      <c r="A46" s="0" t="n">
        <f aca="false">A4</f>
        <v>1</v>
      </c>
      <c r="B46" s="0" t="n">
        <f aca="false">B4</f>
        <v>1</v>
      </c>
      <c r="C46" s="0" t="n">
        <f aca="false">C4</f>
        <v>0</v>
      </c>
      <c r="D46" s="0" t="n">
        <f aca="false">D4</f>
        <v>0</v>
      </c>
      <c r="E46" s="0" t="n">
        <f aca="false">E4</f>
        <v>1</v>
      </c>
      <c r="F46" s="0" t="n">
        <f aca="false">F4</f>
        <v>1</v>
      </c>
      <c r="G46" s="0" t="n">
        <f aca="false">G4</f>
        <v>0</v>
      </c>
      <c r="H46" s="0" t="n">
        <v>7</v>
      </c>
      <c r="I46" s="0" t="n">
        <f aca="false" t="array" ref="I46:I52">MMULT(A4:G9,H46:H52)</f>
        <v>21</v>
      </c>
      <c r="J46" s="0" t="n">
        <f aca="false">K46-I46</f>
        <v>0</v>
      </c>
      <c r="K46" s="0" t="n">
        <f aca="false">H4</f>
        <v>21</v>
      </c>
    </row>
    <row r="47" customFormat="false" ht="12.8" hidden="false" customHeight="false" outlineLevel="0" collapsed="false">
      <c r="A47" s="0" t="n">
        <f aca="false">A5</f>
        <v>1</v>
      </c>
      <c r="B47" s="0" t="n">
        <f aca="false">B5</f>
        <v>0</v>
      </c>
      <c r="C47" s="0" t="n">
        <f aca="false">C5</f>
        <v>0</v>
      </c>
      <c r="D47" s="0" t="n">
        <f aca="false">D5</f>
        <v>0</v>
      </c>
      <c r="E47" s="0" t="n">
        <f aca="false">E5</f>
        <v>1</v>
      </c>
      <c r="F47" s="0" t="n">
        <f aca="false">F5</f>
        <v>0</v>
      </c>
      <c r="G47" s="0" t="n">
        <f aca="false">G5</f>
        <v>0</v>
      </c>
      <c r="H47" s="2" t="n">
        <v>3</v>
      </c>
      <c r="I47" s="0" t="n">
        <v>18</v>
      </c>
      <c r="J47" s="0" t="n">
        <f aca="false">K47-I47</f>
        <v>0</v>
      </c>
      <c r="K47" s="0" t="n">
        <f aca="false">H5</f>
        <v>18</v>
      </c>
    </row>
    <row r="48" customFormat="false" ht="12.8" hidden="false" customHeight="false" outlineLevel="0" collapsed="false">
      <c r="A48" s="0" t="n">
        <f aca="false">A6</f>
        <v>1</v>
      </c>
      <c r="B48" s="0" t="n">
        <f aca="false">B6</f>
        <v>1</v>
      </c>
      <c r="C48" s="0" t="n">
        <f aca="false">C6</f>
        <v>0</v>
      </c>
      <c r="D48" s="0" t="n">
        <f aca="false">D6</f>
        <v>1</v>
      </c>
      <c r="E48" s="0" t="n">
        <f aca="false">E6</f>
        <v>0</v>
      </c>
      <c r="F48" s="0" t="n">
        <f aca="false">F6</f>
        <v>1</v>
      </c>
      <c r="G48" s="0" t="n">
        <f aca="false">G6</f>
        <v>0</v>
      </c>
      <c r="H48" s="0" t="n">
        <v>3</v>
      </c>
      <c r="I48" s="0" t="n">
        <v>30</v>
      </c>
      <c r="J48" s="0" t="n">
        <f aca="false">K48-I48</f>
        <v>0</v>
      </c>
      <c r="K48" s="0" t="n">
        <f aca="false">H6</f>
        <v>30</v>
      </c>
    </row>
    <row r="49" customFormat="false" ht="12.8" hidden="false" customHeight="false" outlineLevel="0" collapsed="false">
      <c r="A49" s="0" t="n">
        <f aca="false">A7</f>
        <v>0</v>
      </c>
      <c r="B49" s="0" t="n">
        <f aca="false">B7</f>
        <v>0</v>
      </c>
      <c r="C49" s="2" t="n">
        <f aca="false">C7</f>
        <v>1</v>
      </c>
      <c r="D49" s="0" t="n">
        <f aca="false">D7</f>
        <v>0</v>
      </c>
      <c r="E49" s="2" t="n">
        <f aca="false">E7</f>
        <v>1</v>
      </c>
      <c r="F49" s="0" t="n">
        <f aca="false">F7</f>
        <v>0</v>
      </c>
      <c r="G49" s="0" t="n">
        <f aca="false">G7</f>
        <v>0</v>
      </c>
      <c r="H49" s="0" t="n">
        <v>20</v>
      </c>
      <c r="I49" s="0" t="n">
        <v>14</v>
      </c>
      <c r="J49" s="0" t="n">
        <f aca="false">K49-I49</f>
        <v>0</v>
      </c>
      <c r="K49" s="0" t="n">
        <f aca="false">H7</f>
        <v>14</v>
      </c>
    </row>
    <row r="50" customFormat="false" ht="12.8" hidden="false" customHeight="false" outlineLevel="0" collapsed="false">
      <c r="A50" s="0" t="n">
        <f aca="false">A8</f>
        <v>0</v>
      </c>
      <c r="B50" s="0" t="n">
        <f aca="false">B8</f>
        <v>1</v>
      </c>
      <c r="C50" s="0" t="n">
        <f aca="false">C8</f>
        <v>0</v>
      </c>
      <c r="D50" s="0" t="n">
        <f aca="false">D8</f>
        <v>1</v>
      </c>
      <c r="E50" s="0" t="n">
        <f aca="false">E8</f>
        <v>1</v>
      </c>
      <c r="F50" s="0" t="n">
        <f aca="false">F8</f>
        <v>1</v>
      </c>
      <c r="G50" s="0" t="n">
        <f aca="false">G8</f>
        <v>0</v>
      </c>
      <c r="H50" s="0" t="n">
        <v>11</v>
      </c>
      <c r="I50" s="0" t="n">
        <v>34</v>
      </c>
      <c r="J50" s="0" t="n">
        <f aca="false">K50-I50</f>
        <v>0</v>
      </c>
      <c r="K50" s="0" t="n">
        <f aca="false">H8</f>
        <v>34</v>
      </c>
    </row>
    <row r="51" customFormat="false" ht="12.8" hidden="false" customHeight="false" outlineLevel="0" collapsed="false">
      <c r="A51" s="0" t="n">
        <f aca="false">A9</f>
        <v>0</v>
      </c>
      <c r="B51" s="0" t="n">
        <f aca="false">B9</f>
        <v>1</v>
      </c>
      <c r="C51" s="0" t="n">
        <f aca="false">C9</f>
        <v>1</v>
      </c>
      <c r="D51" s="0" t="n">
        <f aca="false">D9</f>
        <v>1</v>
      </c>
      <c r="E51" s="0" t="n">
        <f aca="false">E9</f>
        <v>0</v>
      </c>
      <c r="F51" s="0" t="n">
        <f aca="false">F9</f>
        <v>0</v>
      </c>
      <c r="G51" s="0" t="n">
        <f aca="false">G9</f>
        <v>1</v>
      </c>
      <c r="H51" s="2" t="n">
        <v>0</v>
      </c>
      <c r="I51" s="0" t="n">
        <v>40</v>
      </c>
      <c r="J51" s="0" t="n">
        <f aca="false">K51-I51</f>
        <v>0</v>
      </c>
      <c r="K51" s="0" t="n">
        <f aca="false">H9</f>
        <v>40</v>
      </c>
    </row>
    <row r="52" customFormat="false" ht="12.8" hidden="false" customHeight="false" outlineLevel="0" collapsed="false">
      <c r="A52" s="0" t="n">
        <f aca="false">A10</f>
        <v>0</v>
      </c>
      <c r="B52" s="0" t="n">
        <f aca="false">B10</f>
        <v>0</v>
      </c>
      <c r="C52" s="0" t="n">
        <f aca="false">C10</f>
        <v>0</v>
      </c>
      <c r="D52" s="0" t="n">
        <f aca="false">D10</f>
        <v>0</v>
      </c>
      <c r="E52" s="0" t="n">
        <f aca="false">E10</f>
        <v>0</v>
      </c>
      <c r="F52" s="0" t="n">
        <f aca="false">F10</f>
        <v>0</v>
      </c>
      <c r="G52" s="0" t="n">
        <f aca="false">G10</f>
        <v>0</v>
      </c>
      <c r="H52" s="2" t="n">
        <v>14</v>
      </c>
      <c r="I52" s="0" t="e">
        <v>#N/A</v>
      </c>
      <c r="J52" s="0" t="e">
        <f aca="false">K52-I52</f>
        <v>#N/A</v>
      </c>
      <c r="K52" s="0" t="n">
        <f aca="false">H10</f>
        <v>0</v>
      </c>
    </row>
    <row r="54" customFormat="false" ht="12.8" hidden="false" customHeight="false" outlineLevel="0" collapsed="false">
      <c r="H54" s="0" t="n">
        <f aca="false">SUM(H46:H52)</f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48" zoomScaleNormal="148" zoomScalePageLayoutView="100" workbookViewId="0">
      <selection pane="topLeft" activeCell="A17" activeCellId="0" sqref="A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</row>
    <row r="2" customFormat="false" ht="12.8" hidden="false" customHeight="false" outlineLevel="0" collapsed="false">
      <c r="A2" s="0" t="s">
        <v>7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13</v>
      </c>
    </row>
    <row r="5" customFormat="false" ht="12.8" hidden="false" customHeight="false" outlineLevel="0" collapsed="false">
      <c r="A5" s="0" t="n">
        <v>1</v>
      </c>
      <c r="B5" s="0" t="n">
        <v>0</v>
      </c>
      <c r="C5" s="0" t="n">
        <v>1</v>
      </c>
      <c r="D5" s="0" t="n">
        <v>1</v>
      </c>
      <c r="E5" s="0" t="n">
        <v>0</v>
      </c>
      <c r="F5" s="0" t="n">
        <v>0</v>
      </c>
      <c r="G5" s="0" t="n">
        <v>206</v>
      </c>
    </row>
    <row r="6" customFormat="false" ht="12.8" hidden="false" customHeight="false" outlineLevel="0" collapsed="false">
      <c r="A6" s="0" t="n">
        <v>0</v>
      </c>
      <c r="B6" s="0" t="n">
        <v>1</v>
      </c>
      <c r="C6" s="0" t="n">
        <v>1</v>
      </c>
      <c r="D6" s="0" t="n">
        <v>0</v>
      </c>
      <c r="E6" s="0" t="n">
        <v>1</v>
      </c>
      <c r="F6" s="0" t="n">
        <v>1</v>
      </c>
      <c r="G6" s="0" t="n">
        <v>71</v>
      </c>
    </row>
    <row r="7" customFormat="false" ht="12.8" hidden="false" customHeight="false" outlineLevel="0" collapsed="false">
      <c r="A7" s="0" t="n">
        <v>0</v>
      </c>
      <c r="B7" s="0" t="n">
        <v>0</v>
      </c>
      <c r="C7" s="0" t="n">
        <v>1</v>
      </c>
      <c r="D7" s="0" t="n">
        <v>0</v>
      </c>
      <c r="E7" s="0" t="n">
        <v>1</v>
      </c>
      <c r="F7" s="0" t="n">
        <v>1</v>
      </c>
      <c r="G7" s="0" t="n">
        <v>52</v>
      </c>
    </row>
    <row r="8" customFormat="false" ht="12.8" hidden="false" customHeight="false" outlineLevel="0" collapsed="false">
      <c r="A8" s="0" t="n">
        <v>0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0</v>
      </c>
      <c r="G8" s="0" t="n">
        <v>235</v>
      </c>
    </row>
    <row r="9" customFormat="false" ht="12.8" hidden="false" customHeight="false" outlineLevel="0" collapsed="false">
      <c r="A9" s="0" t="n">
        <v>1</v>
      </c>
      <c r="B9" s="0" t="n">
        <v>0</v>
      </c>
      <c r="C9" s="0" t="n">
        <v>1</v>
      </c>
      <c r="D9" s="0" t="n">
        <v>0</v>
      </c>
      <c r="E9" s="0" t="n">
        <v>1</v>
      </c>
      <c r="F9" s="0" t="n">
        <v>1</v>
      </c>
      <c r="G9" s="0" t="n">
        <v>56</v>
      </c>
    </row>
    <row r="10" customFormat="false" ht="12.8" hidden="false" customHeight="false" outlineLevel="0" collapsed="false">
      <c r="A10" s="0" t="n">
        <v>1</v>
      </c>
      <c r="B10" s="0" t="n">
        <v>0</v>
      </c>
      <c r="C10" s="0" t="n">
        <v>1</v>
      </c>
      <c r="D10" s="0" t="n">
        <v>0</v>
      </c>
      <c r="E10" s="0" t="n">
        <v>0</v>
      </c>
      <c r="F10" s="0" t="n">
        <v>1</v>
      </c>
      <c r="G10" s="0" t="n">
        <v>42</v>
      </c>
    </row>
    <row r="11" customFormat="false" ht="12.8" hidden="false" customHeight="false" outlineLevel="0" collapsed="false">
      <c r="A11" s="0" t="n">
        <v>1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0</v>
      </c>
      <c r="G11" s="0" t="n">
        <v>239</v>
      </c>
    </row>
    <row r="12" customFormat="false" ht="12.8" hidden="false" customHeight="false" outlineLevel="0" collapsed="false">
      <c r="A12" s="3" t="n">
        <v>0</v>
      </c>
      <c r="B12" s="3" t="n">
        <v>0</v>
      </c>
      <c r="C12" s="3" t="n">
        <v>0</v>
      </c>
      <c r="D12" s="3" t="n">
        <v>1</v>
      </c>
      <c r="E12" s="3" t="n">
        <v>1</v>
      </c>
      <c r="F12" s="0" t="n">
        <v>0</v>
      </c>
      <c r="G12" s="0" t="n">
        <v>196</v>
      </c>
    </row>
    <row r="14" customFormat="false" ht="12.8" hidden="false" customHeight="false" outlineLevel="0" collapsed="false">
      <c r="A14" s="0" t="n">
        <f aca="false">A9-A7</f>
        <v>1</v>
      </c>
      <c r="B14" s="0" t="n">
        <f aca="false">B9-B7</f>
        <v>0</v>
      </c>
      <c r="C14" s="0" t="n">
        <f aca="false">C9-C7</f>
        <v>0</v>
      </c>
      <c r="D14" s="0" t="n">
        <f aca="false">D9-D7</f>
        <v>0</v>
      </c>
      <c r="E14" s="0" t="n">
        <f aca="false">E9-E7</f>
        <v>0</v>
      </c>
      <c r="F14" s="0" t="n">
        <f aca="false">F9-F7</f>
        <v>0</v>
      </c>
      <c r="G14" s="0" t="n">
        <f aca="false">G9-G7</f>
        <v>4</v>
      </c>
    </row>
    <row r="15" customFormat="false" ht="12.8" hidden="false" customHeight="false" outlineLevel="0" collapsed="false">
      <c r="A15" s="0" t="n">
        <f aca="false">A11-A8</f>
        <v>1</v>
      </c>
      <c r="B15" s="0" t="n">
        <f aca="false">B11-B8</f>
        <v>0</v>
      </c>
      <c r="C15" s="0" t="n">
        <f aca="false">C11-C8</f>
        <v>0</v>
      </c>
      <c r="D15" s="0" t="n">
        <f aca="false">D11-D8</f>
        <v>0</v>
      </c>
      <c r="E15" s="0" t="n">
        <f aca="false">E11-E8</f>
        <v>0</v>
      </c>
      <c r="F15" s="0" t="n">
        <f aca="false">F11-F8</f>
        <v>0</v>
      </c>
      <c r="G15" s="0" t="n">
        <f aca="false">G11-G8</f>
        <v>4</v>
      </c>
    </row>
    <row r="17" customFormat="false" ht="12.8" hidden="false" customHeight="false" outlineLevel="0" collapsed="false">
      <c r="A17" s="0" t="n">
        <f aca="false">A5</f>
        <v>1</v>
      </c>
      <c r="B17" s="0" t="n">
        <f aca="false">B5</f>
        <v>0</v>
      </c>
      <c r="C17" s="0" t="n">
        <f aca="false">C5</f>
        <v>1</v>
      </c>
      <c r="D17" s="0" t="n">
        <f aca="false">D5</f>
        <v>1</v>
      </c>
      <c r="E17" s="0" t="n">
        <f aca="false">E5</f>
        <v>0</v>
      </c>
      <c r="F17" s="0" t="n">
        <f aca="false">F5</f>
        <v>0</v>
      </c>
      <c r="G17" s="0" t="n">
        <v>4</v>
      </c>
      <c r="H17" s="0" t="n">
        <f aca="false" t="array" ref="H17:H22">MMULT(A17:F22,G17:G22)</f>
        <v>206</v>
      </c>
      <c r="I17" s="0" t="n">
        <f aca="false" t="array" ref="I17:I24">MMULT(A5:F12,G17:G22)</f>
        <v>206</v>
      </c>
    </row>
    <row r="18" customFormat="false" ht="12.8" hidden="false" customHeight="false" outlineLevel="0" collapsed="false">
      <c r="A18" s="0" t="n">
        <f aca="false">A6</f>
        <v>0</v>
      </c>
      <c r="B18" s="0" t="n">
        <f aca="false">B6</f>
        <v>1</v>
      </c>
      <c r="C18" s="0" t="n">
        <f aca="false">C6</f>
        <v>1</v>
      </c>
      <c r="D18" s="0" t="n">
        <f aca="false">D6</f>
        <v>0</v>
      </c>
      <c r="E18" s="0" t="n">
        <f aca="false">E6</f>
        <v>1</v>
      </c>
      <c r="F18" s="0" t="n">
        <f aca="false">F6</f>
        <v>1</v>
      </c>
      <c r="G18" s="0" t="n">
        <v>19</v>
      </c>
      <c r="H18" s="0" t="n">
        <v>71</v>
      </c>
      <c r="I18" s="0" t="n">
        <v>71</v>
      </c>
    </row>
    <row r="19" customFormat="false" ht="12.8" hidden="false" customHeight="false" outlineLevel="0" collapsed="false">
      <c r="A19" s="0" t="n">
        <f aca="false">A7</f>
        <v>0</v>
      </c>
      <c r="B19" s="0" t="n">
        <f aca="false">B7</f>
        <v>0</v>
      </c>
      <c r="C19" s="0" t="n">
        <f aca="false">C7</f>
        <v>1</v>
      </c>
      <c r="D19" s="0" t="n">
        <f aca="false">D7</f>
        <v>0</v>
      </c>
      <c r="E19" s="0" t="n">
        <f aca="false">E7</f>
        <v>1</v>
      </c>
      <c r="F19" s="0" t="n">
        <f aca="false">F7</f>
        <v>1</v>
      </c>
      <c r="G19" s="0" t="n">
        <v>20</v>
      </c>
      <c r="H19" s="0" t="n">
        <v>52</v>
      </c>
      <c r="I19" s="0" t="n">
        <v>52</v>
      </c>
    </row>
    <row r="20" customFormat="false" ht="12.8" hidden="false" customHeight="false" outlineLevel="0" collapsed="false">
      <c r="A20" s="0" t="n">
        <f aca="false">A8</f>
        <v>0</v>
      </c>
      <c r="B20" s="0" t="n">
        <f aca="false">B8</f>
        <v>1</v>
      </c>
      <c r="C20" s="0" t="n">
        <f aca="false">C8</f>
        <v>1</v>
      </c>
      <c r="D20" s="0" t="n">
        <f aca="false">D8</f>
        <v>1</v>
      </c>
      <c r="E20" s="0" t="n">
        <f aca="false">E8</f>
        <v>1</v>
      </c>
      <c r="F20" s="0" t="n">
        <f aca="false">F8</f>
        <v>0</v>
      </c>
      <c r="G20" s="0" t="n">
        <v>182</v>
      </c>
      <c r="H20" s="0" t="n">
        <v>235</v>
      </c>
      <c r="I20" s="0" t="n">
        <v>235</v>
      </c>
    </row>
    <row r="21" customFormat="false" ht="12.8" hidden="false" customHeight="false" outlineLevel="0" collapsed="false">
      <c r="A21" s="0" t="n">
        <f aca="false">A9</f>
        <v>1</v>
      </c>
      <c r="B21" s="0" t="n">
        <f aca="false">B9</f>
        <v>0</v>
      </c>
      <c r="C21" s="0" t="n">
        <f aca="false">C9</f>
        <v>1</v>
      </c>
      <c r="D21" s="0" t="n">
        <f aca="false">D9</f>
        <v>0</v>
      </c>
      <c r="E21" s="0" t="n">
        <f aca="false">E9</f>
        <v>1</v>
      </c>
      <c r="F21" s="0" t="n">
        <f aca="false">F9</f>
        <v>1</v>
      </c>
      <c r="G21" s="0" t="n">
        <v>14</v>
      </c>
      <c r="H21" s="0" t="n">
        <v>56</v>
      </c>
      <c r="I21" s="0" t="n">
        <v>56</v>
      </c>
    </row>
    <row r="22" customFormat="false" ht="12.8" hidden="false" customHeight="false" outlineLevel="0" collapsed="false">
      <c r="A22" s="0" t="n">
        <f aca="false">A10</f>
        <v>1</v>
      </c>
      <c r="B22" s="0" t="n">
        <f aca="false">B10</f>
        <v>0</v>
      </c>
      <c r="C22" s="0" t="n">
        <f aca="false">C10</f>
        <v>1</v>
      </c>
      <c r="D22" s="0" t="n">
        <f aca="false">D10</f>
        <v>0</v>
      </c>
      <c r="E22" s="0" t="n">
        <f aca="false">E10</f>
        <v>0</v>
      </c>
      <c r="F22" s="0" t="n">
        <f aca="false">F10</f>
        <v>1</v>
      </c>
      <c r="G22" s="0" t="n">
        <v>18</v>
      </c>
      <c r="H22" s="0" t="n">
        <v>42</v>
      </c>
      <c r="I22" s="0" t="n">
        <v>42</v>
      </c>
    </row>
    <row r="23" customFormat="false" ht="12.8" hidden="false" customHeight="false" outlineLevel="0" collapsed="false">
      <c r="I23" s="0" t="n">
        <v>239</v>
      </c>
    </row>
    <row r="24" customFormat="false" ht="12.8" hidden="false" customHeight="false" outlineLevel="0" collapsed="false">
      <c r="G24" s="4" t="n">
        <f aca="false">SUM(G17:G22)</f>
        <v>257</v>
      </c>
      <c r="I24" s="0" t="n">
        <v>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9"/>
  <sheetViews>
    <sheetView showFormulas="false" showGridLines="true" showRowColHeaders="true" showZeros="true" rightToLeft="false" tabSelected="false" showOutlineSymbols="true" defaultGridColor="true" view="normal" topLeftCell="A1" colorId="64" zoomScale="148" zoomScaleNormal="148" zoomScalePageLayoutView="100" workbookViewId="0">
      <selection pane="topLeft" activeCell="E20" activeCellId="0" sqref="E20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5" t="n">
        <v>0</v>
      </c>
      <c r="B2" s="5" t="n">
        <v>1</v>
      </c>
      <c r="C2" s="5" t="n">
        <v>0</v>
      </c>
      <c r="D2" s="5" t="n">
        <v>1</v>
      </c>
      <c r="E2" s="5" t="n">
        <v>37</v>
      </c>
      <c r="F2" s="5" t="n">
        <f aca="false">MDETERM(A2:D5)</f>
        <v>-2</v>
      </c>
    </row>
    <row r="3" customFormat="false" ht="12.8" hidden="false" customHeight="false" outlineLevel="0" collapsed="false">
      <c r="A3" s="6" t="n">
        <v>0</v>
      </c>
      <c r="B3" s="6" t="n">
        <v>0</v>
      </c>
      <c r="C3" s="6" t="n">
        <v>1</v>
      </c>
      <c r="D3" s="6" t="n">
        <v>0</v>
      </c>
      <c r="E3" s="5" t="n">
        <v>13</v>
      </c>
    </row>
    <row r="4" customFormat="false" ht="12.8" hidden="false" customHeight="false" outlineLevel="0" collapsed="false">
      <c r="A4" s="5" t="n">
        <v>1</v>
      </c>
      <c r="B4" s="5" t="n">
        <v>0</v>
      </c>
      <c r="C4" s="5" t="n">
        <v>1</v>
      </c>
      <c r="D4" s="5" t="n">
        <v>1</v>
      </c>
      <c r="E4" s="5" t="n">
        <v>45</v>
      </c>
    </row>
    <row r="5" customFormat="false" ht="12.8" hidden="false" customHeight="false" outlineLevel="0" collapsed="false">
      <c r="A5" s="5" t="n">
        <v>1</v>
      </c>
      <c r="B5" s="5" t="n">
        <v>1</v>
      </c>
      <c r="C5" s="5" t="n">
        <v>0</v>
      </c>
      <c r="D5" s="5" t="n">
        <v>0</v>
      </c>
      <c r="E5" s="5" t="n">
        <v>31</v>
      </c>
    </row>
    <row r="7" customFormat="false" ht="12.8" hidden="false" customHeight="false" outlineLevel="0" collapsed="false">
      <c r="A7" s="5" t="n">
        <v>0</v>
      </c>
      <c r="B7" s="5" t="n">
        <v>1</v>
      </c>
      <c r="C7" s="5" t="n">
        <v>0</v>
      </c>
      <c r="D7" s="5" t="n">
        <v>1</v>
      </c>
      <c r="E7" s="5" t="n">
        <v>37</v>
      </c>
    </row>
    <row r="8" customFormat="false" ht="12.8" hidden="false" customHeight="false" outlineLevel="0" collapsed="false">
      <c r="A8" s="6" t="n">
        <v>0</v>
      </c>
      <c r="B8" s="6" t="n">
        <v>0</v>
      </c>
      <c r="C8" s="6" t="n">
        <v>1</v>
      </c>
      <c r="D8" s="6" t="n">
        <v>0</v>
      </c>
      <c r="E8" s="5" t="n">
        <v>13</v>
      </c>
    </row>
    <row r="9" customFormat="false" ht="12.8" hidden="false" customHeight="false" outlineLevel="0" collapsed="false">
      <c r="A9" s="5" t="n">
        <v>1</v>
      </c>
      <c r="B9" s="5" t="n">
        <v>0</v>
      </c>
      <c r="C9" s="5" t="n">
        <v>1</v>
      </c>
      <c r="D9" s="5" t="n">
        <v>1</v>
      </c>
      <c r="E9" s="5" t="n">
        <v>45</v>
      </c>
    </row>
    <row r="10" customFormat="false" ht="12.8" hidden="false" customHeight="false" outlineLevel="0" collapsed="false">
      <c r="A10" s="5" t="n">
        <f aca="false">A4-A5</f>
        <v>0</v>
      </c>
      <c r="B10" s="5" t="n">
        <f aca="false">B4-B5</f>
        <v>-1</v>
      </c>
      <c r="C10" s="5" t="n">
        <f aca="false">C4-C5</f>
        <v>1</v>
      </c>
      <c r="D10" s="5" t="n">
        <f aca="false">D4-D5</f>
        <v>1</v>
      </c>
      <c r="E10" s="5" t="n">
        <f aca="false">E4-E5</f>
        <v>14</v>
      </c>
    </row>
    <row r="12" customFormat="false" ht="12.8" hidden="false" customHeight="false" outlineLevel="0" collapsed="false">
      <c r="A12" s="5" t="n">
        <v>0</v>
      </c>
      <c r="B12" s="5" t="n">
        <v>1</v>
      </c>
      <c r="C12" s="5" t="n">
        <v>0</v>
      </c>
      <c r="D12" s="5" t="n">
        <v>1</v>
      </c>
      <c r="E12" s="5" t="n">
        <v>37</v>
      </c>
    </row>
    <row r="13" customFormat="false" ht="12.8" hidden="false" customHeight="false" outlineLevel="0" collapsed="false">
      <c r="A13" s="6" t="n">
        <v>0</v>
      </c>
      <c r="B13" s="6" t="n">
        <v>0</v>
      </c>
      <c r="C13" s="6" t="n">
        <v>1</v>
      </c>
      <c r="D13" s="6" t="n">
        <v>0</v>
      </c>
      <c r="E13" s="5" t="n">
        <v>13</v>
      </c>
    </row>
    <row r="14" customFormat="false" ht="12.8" hidden="false" customHeight="false" outlineLevel="0" collapsed="false">
      <c r="A14" s="5" t="n">
        <v>1</v>
      </c>
      <c r="B14" s="5" t="n">
        <v>0</v>
      </c>
      <c r="C14" s="5" t="n">
        <v>1</v>
      </c>
      <c r="D14" s="5" t="n">
        <v>1</v>
      </c>
      <c r="E14" s="5" t="n">
        <v>45</v>
      </c>
    </row>
    <row r="15" customFormat="false" ht="12.8" hidden="false" customHeight="false" outlineLevel="0" collapsed="false">
      <c r="A15" s="5" t="n">
        <f aca="false">A9-A10</f>
        <v>1</v>
      </c>
      <c r="B15" s="5" t="n">
        <f aca="false">B9-B10</f>
        <v>1</v>
      </c>
      <c r="C15" s="5" t="n">
        <f aca="false">C9-C10</f>
        <v>0</v>
      </c>
      <c r="D15" s="5" t="n">
        <f aca="false">D9-D10</f>
        <v>0</v>
      </c>
      <c r="E15" s="5" t="n">
        <f aca="false">E9-E10</f>
        <v>31</v>
      </c>
    </row>
    <row r="18" customFormat="false" ht="12.8" hidden="false" customHeight="false" outlineLevel="0" collapsed="false">
      <c r="E18" s="5" t="n">
        <f aca="false">SUM(E20:E23)</f>
        <v>63</v>
      </c>
    </row>
    <row r="20" customFormat="false" ht="12.8" hidden="false" customHeight="false" outlineLevel="0" collapsed="false">
      <c r="A20" s="5" t="n">
        <f aca="false" t="array" ref="A20:D23">MINVERSE(A2:D5)</f>
        <v>-0.5</v>
      </c>
      <c r="B20" s="5" t="n">
        <v>-0.5</v>
      </c>
      <c r="C20" s="5" t="n">
        <v>0.5</v>
      </c>
      <c r="D20" s="5" t="n">
        <v>0.5</v>
      </c>
      <c r="E20" s="7" t="n">
        <f aca="false" t="array" ref="E20:E23">MMULT(A20:D23,E2:E5)</f>
        <v>13</v>
      </c>
      <c r="F20" s="5" t="n">
        <f aca="false" t="array" ref="F20:F23">MMULT(A2:D5,E20:E23)</f>
        <v>37</v>
      </c>
    </row>
    <row r="21" customFormat="false" ht="12.8" hidden="false" customHeight="false" outlineLevel="0" collapsed="false">
      <c r="A21" s="5" t="n">
        <v>0.5</v>
      </c>
      <c r="B21" s="5" t="n">
        <v>0.5</v>
      </c>
      <c r="C21" s="5" t="n">
        <v>-0.5</v>
      </c>
      <c r="D21" s="5" t="n">
        <v>0.5</v>
      </c>
      <c r="E21" s="7" t="n">
        <v>18</v>
      </c>
      <c r="F21" s="5" t="n">
        <v>13</v>
      </c>
    </row>
    <row r="22" customFormat="false" ht="12.8" hidden="false" customHeight="false" outlineLevel="0" collapsed="false">
      <c r="A22" s="5" t="n">
        <v>0</v>
      </c>
      <c r="B22" s="5" t="n">
        <v>1</v>
      </c>
      <c r="C22" s="5" t="n">
        <v>0</v>
      </c>
      <c r="D22" s="5" t="n">
        <v>0</v>
      </c>
      <c r="E22" s="7" t="n">
        <v>13</v>
      </c>
      <c r="F22" s="5" t="n">
        <v>45</v>
      </c>
    </row>
    <row r="23" customFormat="false" ht="12.8" hidden="false" customHeight="false" outlineLevel="0" collapsed="false">
      <c r="A23" s="5" t="n">
        <v>0.5</v>
      </c>
      <c r="B23" s="5" t="n">
        <v>-0.5</v>
      </c>
      <c r="C23" s="5" t="n">
        <v>0.5</v>
      </c>
      <c r="D23" s="5" t="n">
        <v>-0.5</v>
      </c>
      <c r="E23" s="7" t="n">
        <v>19</v>
      </c>
      <c r="F23" s="5" t="n">
        <v>31</v>
      </c>
    </row>
    <row r="25" customFormat="false" ht="12.8" hidden="false" customHeight="false" outlineLevel="0" collapsed="false">
      <c r="E25" s="5"/>
    </row>
    <row r="26" customFormat="false" ht="12.8" hidden="false" customHeight="false" outlineLevel="0" collapsed="false">
      <c r="A26" s="5"/>
      <c r="B26" s="5"/>
      <c r="C26" s="5"/>
      <c r="D26" s="5"/>
      <c r="E26" s="5"/>
      <c r="F26" s="5"/>
      <c r="G26" s="5"/>
    </row>
    <row r="27" customFormat="false" ht="12.8" hidden="false" customHeight="false" outlineLevel="0" collapsed="false">
      <c r="A27" s="6"/>
      <c r="B27" s="6"/>
      <c r="C27" s="6"/>
      <c r="D27" s="6"/>
      <c r="E27" s="5"/>
      <c r="F27" s="5"/>
      <c r="G27" s="5"/>
    </row>
    <row r="28" customFormat="false" ht="12.8" hidden="false" customHeight="false" outlineLevel="0" collapsed="false">
      <c r="A28" s="5"/>
      <c r="B28" s="5"/>
      <c r="C28" s="5"/>
      <c r="D28" s="5"/>
      <c r="E28" s="5"/>
      <c r="F28" s="5"/>
      <c r="G28" s="5"/>
    </row>
    <row r="29" customFormat="false" ht="12.8" hidden="false" customHeight="false" outlineLevel="0" collapsed="false">
      <c r="A29" s="5"/>
      <c r="B29" s="5"/>
      <c r="C29" s="5"/>
      <c r="D29" s="5"/>
      <c r="E29" s="5"/>
      <c r="F29" s="5"/>
      <c r="G29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8"/>
  <sheetViews>
    <sheetView showFormulas="false" showGridLines="true" showRowColHeaders="true" showZeros="true" rightToLeft="false" tabSelected="true" showOutlineSymbols="true" defaultGridColor="true" view="normal" topLeftCell="D1" colorId="64" zoomScale="148" zoomScaleNormal="148" zoomScalePageLayoutView="100" workbookViewId="0">
      <selection pane="topLeft" activeCell="K21" activeCellId="0" sqref="K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14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n">
        <v>0</v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29</v>
      </c>
      <c r="K3" s="0" t="s">
        <v>15</v>
      </c>
      <c r="L3" s="0" t="n">
        <f aca="false" t="array" ref="L3:S11">TRANSPOSE(A3:I10)</f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11</v>
      </c>
      <c r="L4" s="0" t="n">
        <v>1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1</v>
      </c>
    </row>
    <row r="5" customFormat="false" ht="12.8" hidden="false" customHeight="false" outlineLevel="0" collapsed="false">
      <c r="A5" s="0" t="n">
        <v>0</v>
      </c>
      <c r="B5" s="0" t="n">
        <v>0</v>
      </c>
      <c r="C5" s="0" t="n">
        <v>1</v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38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r="6" customFormat="false" ht="12.8" hidden="false" customHeight="false" outlineLevel="0" collapsed="false">
      <c r="A6" s="0" t="n">
        <v>1</v>
      </c>
      <c r="B6" s="0" t="n">
        <v>1</v>
      </c>
      <c r="C6" s="0" t="n">
        <v>1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</v>
      </c>
      <c r="I6" s="0" t="n">
        <v>1</v>
      </c>
      <c r="J6" s="0" t="n">
        <v>45</v>
      </c>
      <c r="K6" s="0" t="s">
        <v>15</v>
      </c>
      <c r="L6" s="0" t="n">
        <v>1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r="7" customFormat="false" ht="12.8" hidden="false" customHeight="false" outlineLevel="0" collapsed="false">
      <c r="A7" s="0" t="n">
        <v>0</v>
      </c>
      <c r="B7" s="0" t="n">
        <v>1</v>
      </c>
      <c r="C7" s="0" t="n">
        <v>0</v>
      </c>
      <c r="D7" s="0" t="n">
        <v>0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45</v>
      </c>
      <c r="K7" s="0" t="s">
        <v>15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1</v>
      </c>
      <c r="Q7" s="0" t="n">
        <v>1</v>
      </c>
      <c r="R7" s="0" t="n">
        <v>0</v>
      </c>
      <c r="S7" s="0" t="n">
        <v>1</v>
      </c>
    </row>
    <row r="8" customFormat="false" ht="12.8" hidden="false" customHeight="false" outlineLevel="0" collapsed="false">
      <c r="A8" s="0" t="n">
        <v>0</v>
      </c>
      <c r="B8" s="0" t="n">
        <v>1</v>
      </c>
      <c r="C8" s="0" t="n">
        <v>0</v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33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1</v>
      </c>
    </row>
    <row r="9" customFormat="false" ht="12.8" hidden="false" customHeight="false" outlineLevel="0" collapsed="false">
      <c r="A9" s="0" t="n">
        <v>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27</v>
      </c>
      <c r="K9" s="0" t="s">
        <v>15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1</v>
      </c>
      <c r="Q9" s="0" t="n">
        <v>1</v>
      </c>
      <c r="R9" s="0" t="n">
        <v>1</v>
      </c>
      <c r="S9" s="0" t="n">
        <v>0</v>
      </c>
    </row>
    <row r="10" customFormat="false" ht="12.8" hidden="false" customHeight="false" outlineLevel="0" collapsed="false">
      <c r="A10" s="0" t="n">
        <v>0</v>
      </c>
      <c r="B10" s="0" t="n">
        <v>1</v>
      </c>
      <c r="C10" s="0" t="n">
        <v>1</v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54</v>
      </c>
      <c r="K10" s="0" t="s">
        <v>15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</row>
    <row r="11" customFormat="false" ht="12.8" hidden="false" customHeight="false" outlineLevel="0" collapsed="false">
      <c r="L11" s="0" t="n">
        <v>0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r="12" customFormat="false" ht="12.8" hidden="false" customHeight="false" outlineLevel="0" collapsed="false">
      <c r="A12" s="0" t="n">
        <f aca="false">A3</f>
        <v>0</v>
      </c>
      <c r="B12" s="0" t="n">
        <f aca="false">B3</f>
        <v>1</v>
      </c>
      <c r="C12" s="0" t="n">
        <f aca="false">C3</f>
        <v>0</v>
      </c>
      <c r="D12" s="0" t="n">
        <f aca="false">D3</f>
        <v>1</v>
      </c>
      <c r="E12" s="0" t="n">
        <f aca="false">E3</f>
        <v>0</v>
      </c>
      <c r="F12" s="0" t="n">
        <f aca="false">F3</f>
        <v>0</v>
      </c>
      <c r="G12" s="0" t="n">
        <f aca="false">G3</f>
        <v>1</v>
      </c>
      <c r="H12" s="0" t="n">
        <f aca="false">H3</f>
        <v>1</v>
      </c>
      <c r="I12" s="0" t="n">
        <f aca="false">I3</f>
        <v>0</v>
      </c>
      <c r="J12" s="0" t="n">
        <f aca="false">J3</f>
        <v>29</v>
      </c>
    </row>
    <row r="13" customFormat="false" ht="12.8" hidden="false" customHeight="false" outlineLevel="0" collapsed="false">
      <c r="A13" s="0" t="n">
        <f aca="false">A4</f>
        <v>0</v>
      </c>
      <c r="B13" s="0" t="n">
        <f aca="false">B4</f>
        <v>0</v>
      </c>
      <c r="C13" s="0" t="n">
        <f aca="false">C4</f>
        <v>0</v>
      </c>
      <c r="D13" s="0" t="n">
        <f aca="false">D4</f>
        <v>0</v>
      </c>
      <c r="E13" s="0" t="n">
        <f aca="false">E4</f>
        <v>1</v>
      </c>
      <c r="F13" s="0" t="n">
        <f aca="false">F4</f>
        <v>0</v>
      </c>
      <c r="G13" s="0" t="n">
        <f aca="false">G4</f>
        <v>1</v>
      </c>
      <c r="H13" s="0" t="n">
        <f aca="false">H4</f>
        <v>0</v>
      </c>
      <c r="I13" s="0" t="n">
        <f aca="false">I4</f>
        <v>0</v>
      </c>
      <c r="J13" s="0" t="n">
        <f aca="false">J4</f>
        <v>11</v>
      </c>
      <c r="L13" s="0" t="n">
        <f aca="false" t="array" ref="L13:T21">MMULT(L3:S11,A3:I10)</f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</row>
    <row r="14" customFormat="false" ht="12.8" hidden="false" customHeight="false" outlineLevel="0" collapsed="false">
      <c r="A14" s="0" t="n">
        <f aca="false">A5-A19</f>
        <v>0</v>
      </c>
      <c r="B14" s="0" t="n">
        <f aca="false">B5-B19</f>
        <v>0</v>
      </c>
      <c r="C14" s="0" t="n">
        <f aca="false">C5-C19</f>
        <v>0</v>
      </c>
      <c r="D14" s="0" t="n">
        <f aca="false">D5-D19</f>
        <v>2</v>
      </c>
      <c r="E14" s="0" t="n">
        <f aca="false">E5-E19</f>
        <v>1</v>
      </c>
      <c r="F14" s="0" t="n">
        <f aca="false">F5-F19</f>
        <v>-1</v>
      </c>
      <c r="G14" s="0" t="n">
        <f aca="false">G5-G19</f>
        <v>2</v>
      </c>
      <c r="H14" s="0" t="n">
        <f aca="false">H5-H19</f>
        <v>1</v>
      </c>
      <c r="I14" s="0" t="n">
        <f aca="false">I5-I19</f>
        <v>0</v>
      </c>
      <c r="J14" s="0" t="n">
        <f aca="false">J5-J19</f>
        <v>17</v>
      </c>
      <c r="L14" s="0" t="n">
        <v>1</v>
      </c>
      <c r="M14" s="0" t="n">
        <v>5</v>
      </c>
      <c r="N14" s="0" t="n">
        <v>2</v>
      </c>
      <c r="O14" s="0" t="n">
        <v>2</v>
      </c>
      <c r="P14" s="0" t="n">
        <v>3</v>
      </c>
      <c r="Q14" s="0" t="n">
        <v>2</v>
      </c>
      <c r="R14" s="0" t="n">
        <v>3</v>
      </c>
      <c r="S14" s="0" t="n">
        <v>3</v>
      </c>
      <c r="T14" s="0" t="n">
        <v>2</v>
      </c>
    </row>
    <row r="15" customFormat="false" ht="12.8" hidden="false" customHeight="false" outlineLevel="0" collapsed="false">
      <c r="A15" s="0" t="n">
        <f aca="false">A6-A10</f>
        <v>1</v>
      </c>
      <c r="B15" s="0" t="n">
        <f aca="false">B6-B10</f>
        <v>0</v>
      </c>
      <c r="C15" s="0" t="n">
        <f aca="false">C6-C10</f>
        <v>0</v>
      </c>
      <c r="D15" s="0" t="n">
        <f aca="false">D6-D10</f>
        <v>0</v>
      </c>
      <c r="E15" s="0" t="n">
        <f aca="false">E6-E10</f>
        <v>-1</v>
      </c>
      <c r="F15" s="0" t="n">
        <f aca="false">F6-F10</f>
        <v>-1</v>
      </c>
      <c r="G15" s="0" t="n">
        <f aca="false">G6-G10</f>
        <v>0</v>
      </c>
      <c r="H15" s="0" t="n">
        <f aca="false">H6-H10</f>
        <v>1</v>
      </c>
      <c r="I15" s="0" t="n">
        <f aca="false">I6-I10</f>
        <v>1</v>
      </c>
      <c r="J15" s="0" t="n">
        <f aca="false">J6-J10</f>
        <v>-9</v>
      </c>
      <c r="L15" s="0" t="n">
        <v>1</v>
      </c>
      <c r="M15" s="0" t="n">
        <v>2</v>
      </c>
      <c r="N15" s="0" t="n">
        <v>3</v>
      </c>
      <c r="O15" s="0" t="n">
        <v>1</v>
      </c>
      <c r="P15" s="0" t="n">
        <v>2</v>
      </c>
      <c r="Q15" s="0" t="n">
        <v>1</v>
      </c>
      <c r="R15" s="0" t="n">
        <v>1</v>
      </c>
      <c r="S15" s="0" t="n">
        <v>2</v>
      </c>
      <c r="T15" s="0" t="n">
        <v>1</v>
      </c>
    </row>
    <row r="16" customFormat="false" ht="12.8" hidden="false" customHeight="false" outlineLevel="0" collapsed="false">
      <c r="A16" s="0" t="n">
        <f aca="false">A7-A8</f>
        <v>0</v>
      </c>
      <c r="B16" s="0" t="n">
        <f aca="false">B7-B8</f>
        <v>0</v>
      </c>
      <c r="C16" s="0" t="n">
        <f aca="false">C7-C8</f>
        <v>0</v>
      </c>
      <c r="D16" s="0" t="n">
        <f aca="false">D7-D8</f>
        <v>-1</v>
      </c>
      <c r="E16" s="0" t="n">
        <f aca="false">E7-E8</f>
        <v>0</v>
      </c>
      <c r="F16" s="0" t="n">
        <f aca="false">F7-F8</f>
        <v>1</v>
      </c>
      <c r="G16" s="0" t="n">
        <f aca="false">G7-G8</f>
        <v>0</v>
      </c>
      <c r="H16" s="0" t="n">
        <f aca="false">H7-H8</f>
        <v>1</v>
      </c>
      <c r="I16" s="0" t="n">
        <f aca="false">I7-I8</f>
        <v>1</v>
      </c>
      <c r="J16" s="0" t="n">
        <f aca="false">J7-J8</f>
        <v>12</v>
      </c>
      <c r="L16" s="0" t="n">
        <v>0</v>
      </c>
      <c r="M16" s="0" t="n">
        <v>2</v>
      </c>
      <c r="N16" s="0" t="n">
        <v>1</v>
      </c>
      <c r="O16" s="0" t="n">
        <v>3</v>
      </c>
      <c r="P16" s="0" t="n">
        <v>2</v>
      </c>
      <c r="Q16" s="0" t="n">
        <v>0</v>
      </c>
      <c r="R16" s="0" t="n">
        <v>3</v>
      </c>
      <c r="S16" s="0" t="n">
        <v>2</v>
      </c>
      <c r="T16" s="0" t="n">
        <v>0</v>
      </c>
    </row>
    <row r="17" customFormat="false" ht="12.8" hidden="false" customHeight="false" outlineLevel="0" collapsed="false">
      <c r="A17" s="0" t="n">
        <f aca="false">A8-A3</f>
        <v>0</v>
      </c>
      <c r="B17" s="0" t="n">
        <f aca="false">B8-B3</f>
        <v>0</v>
      </c>
      <c r="C17" s="0" t="n">
        <f aca="false">C8-C3</f>
        <v>0</v>
      </c>
      <c r="D17" s="0" t="n">
        <f aca="false">D8-D3</f>
        <v>0</v>
      </c>
      <c r="E17" s="0" t="n">
        <f aca="false">E8-E3</f>
        <v>1</v>
      </c>
      <c r="F17" s="0" t="n">
        <f aca="false">F8-F3</f>
        <v>0</v>
      </c>
      <c r="G17" s="0" t="n">
        <f aca="false">G8-G3</f>
        <v>0</v>
      </c>
      <c r="H17" s="0" t="n">
        <f aca="false">H8-H3</f>
        <v>-1</v>
      </c>
      <c r="I17" s="0" t="n">
        <f aca="false">I8-I3</f>
        <v>0</v>
      </c>
      <c r="J17" s="0" t="n">
        <f aca="false">J8-J3</f>
        <v>4</v>
      </c>
      <c r="L17" s="0" t="n">
        <v>0</v>
      </c>
      <c r="M17" s="0" t="n">
        <v>3</v>
      </c>
      <c r="N17" s="0" t="n">
        <v>2</v>
      </c>
      <c r="O17" s="0" t="n">
        <v>2</v>
      </c>
      <c r="P17" s="0" t="n">
        <v>5</v>
      </c>
      <c r="Q17" s="0" t="n">
        <v>2</v>
      </c>
      <c r="R17" s="0" t="n">
        <v>4</v>
      </c>
      <c r="S17" s="0" t="n">
        <v>2</v>
      </c>
      <c r="T17" s="0" t="n">
        <v>1</v>
      </c>
    </row>
    <row r="18" customFormat="false" ht="12.8" hidden="false" customHeight="false" outlineLevel="0" collapsed="false">
      <c r="A18" s="0" t="n">
        <f aca="false">A9</f>
        <v>0</v>
      </c>
      <c r="B18" s="0" t="n">
        <f aca="false">B9</f>
        <v>0</v>
      </c>
      <c r="C18" s="0" t="n">
        <f aca="false">C9</f>
        <v>0</v>
      </c>
      <c r="D18" s="0" t="n">
        <f aca="false">D9</f>
        <v>0</v>
      </c>
      <c r="E18" s="0" t="n">
        <f aca="false">E9</f>
        <v>0</v>
      </c>
      <c r="F18" s="0" t="n">
        <f aca="false">F9</f>
        <v>1</v>
      </c>
      <c r="G18" s="0" t="n">
        <f aca="false">G9</f>
        <v>1</v>
      </c>
      <c r="H18" s="0" t="n">
        <f aca="false">H9</f>
        <v>1</v>
      </c>
      <c r="I18" s="0" t="n">
        <f aca="false">I9</f>
        <v>1</v>
      </c>
      <c r="J18" s="0" t="n">
        <f aca="false">J9</f>
        <v>27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2</v>
      </c>
      <c r="Q18" s="0" t="n">
        <v>3</v>
      </c>
      <c r="R18" s="0" t="n">
        <v>2</v>
      </c>
      <c r="S18" s="0" t="n">
        <v>2</v>
      </c>
      <c r="T18" s="0" t="n">
        <v>2</v>
      </c>
    </row>
    <row r="19" customFormat="false" ht="12.8" hidden="false" customHeight="false" outlineLevel="0" collapsed="false">
      <c r="A19" s="0" t="n">
        <f aca="false">A10-A8</f>
        <v>0</v>
      </c>
      <c r="B19" s="0" t="n">
        <f aca="false">B10-B8</f>
        <v>0</v>
      </c>
      <c r="C19" s="0" t="n">
        <f aca="false">C10-C8</f>
        <v>1</v>
      </c>
      <c r="D19" s="0" t="n">
        <f aca="false">D10-D8</f>
        <v>-1</v>
      </c>
      <c r="E19" s="0" t="n">
        <f aca="false">E10-E8</f>
        <v>0</v>
      </c>
      <c r="F19" s="0" t="n">
        <f aca="false">F10-F8</f>
        <v>1</v>
      </c>
      <c r="G19" s="0" t="n">
        <f aca="false">G10-G8</f>
        <v>-1</v>
      </c>
      <c r="H19" s="0" t="n">
        <f aca="false">H10-H8</f>
        <v>0</v>
      </c>
      <c r="I19" s="0" t="n">
        <f aca="false">I10-I8</f>
        <v>0</v>
      </c>
      <c r="J19" s="0" t="n">
        <f aca="false">J10-J8</f>
        <v>21</v>
      </c>
      <c r="L19" s="0" t="n">
        <v>0</v>
      </c>
      <c r="M19" s="0" t="n">
        <v>3</v>
      </c>
      <c r="N19" s="0" t="n">
        <v>1</v>
      </c>
      <c r="O19" s="0" t="n">
        <v>3</v>
      </c>
      <c r="P19" s="0" t="n">
        <v>4</v>
      </c>
      <c r="Q19" s="0" t="n">
        <v>2</v>
      </c>
      <c r="R19" s="0" t="n">
        <v>6</v>
      </c>
      <c r="S19" s="0" t="n">
        <v>4</v>
      </c>
      <c r="T19" s="0" t="n">
        <v>2</v>
      </c>
    </row>
    <row r="20" customFormat="false" ht="12.8" hidden="false" customHeight="false" outlineLevel="0" collapsed="false">
      <c r="L20" s="0" t="n">
        <v>1</v>
      </c>
      <c r="M20" s="0" t="n">
        <v>3</v>
      </c>
      <c r="N20" s="0" t="n">
        <v>2</v>
      </c>
      <c r="O20" s="0" t="n">
        <v>2</v>
      </c>
      <c r="P20" s="0" t="n">
        <v>2</v>
      </c>
      <c r="Q20" s="0" t="n">
        <v>2</v>
      </c>
      <c r="R20" s="0" t="n">
        <v>4</v>
      </c>
      <c r="S20" s="0" t="n">
        <v>5</v>
      </c>
      <c r="T20" s="0" t="n">
        <v>3</v>
      </c>
    </row>
    <row r="21" customFormat="false" ht="12.8" hidden="false" customHeight="false" outlineLevel="0" collapsed="false">
      <c r="A21" s="3" t="n">
        <f aca="false">A12+A16</f>
        <v>0</v>
      </c>
      <c r="B21" s="2" t="n">
        <f aca="false">B12+B16</f>
        <v>1</v>
      </c>
      <c r="C21" s="3" t="n">
        <f aca="false">C12+C16</f>
        <v>0</v>
      </c>
      <c r="D21" s="3" t="n">
        <f aca="false">D12+D16</f>
        <v>0</v>
      </c>
      <c r="E21" s="3" t="n">
        <f aca="false">E12+E16</f>
        <v>0</v>
      </c>
      <c r="F21" s="3" t="n">
        <f aca="false">F12+F16</f>
        <v>1</v>
      </c>
      <c r="G21" s="3" t="n">
        <f aca="false">G12+G16</f>
        <v>1</v>
      </c>
      <c r="H21" s="3" t="n">
        <f aca="false">H12+H16</f>
        <v>2</v>
      </c>
      <c r="I21" s="3" t="n">
        <f aca="false">I12+I16</f>
        <v>1</v>
      </c>
      <c r="J21" s="3" t="n">
        <f aca="false">J12+J16</f>
        <v>41</v>
      </c>
      <c r="L21" s="0" t="n">
        <v>1</v>
      </c>
      <c r="M21" s="0" t="n">
        <v>2</v>
      </c>
      <c r="N21" s="0" t="n">
        <v>1</v>
      </c>
      <c r="O21" s="0" t="n">
        <v>0</v>
      </c>
      <c r="P21" s="0" t="n">
        <v>1</v>
      </c>
      <c r="Q21" s="0" t="n">
        <v>2</v>
      </c>
      <c r="R21" s="0" t="n">
        <v>2</v>
      </c>
      <c r="S21" s="0" t="n">
        <v>3</v>
      </c>
      <c r="T21" s="0" t="n">
        <v>3</v>
      </c>
    </row>
    <row r="22" customFormat="false" ht="12.8" hidden="false" customHeight="false" outlineLevel="0" collapsed="false">
      <c r="A22" s="3" t="n">
        <f aca="false">A13-A17</f>
        <v>0</v>
      </c>
      <c r="B22" s="3" t="n">
        <f aca="false">B13-B17</f>
        <v>0</v>
      </c>
      <c r="C22" s="3" t="n">
        <f aca="false">C13-C17</f>
        <v>0</v>
      </c>
      <c r="D22" s="3" t="n">
        <f aca="false">D13-D17</f>
        <v>0</v>
      </c>
      <c r="E22" s="3" t="n">
        <f aca="false">E13-E17</f>
        <v>0</v>
      </c>
      <c r="F22" s="3" t="n">
        <f aca="false">F13-F17</f>
        <v>0</v>
      </c>
      <c r="G22" s="2" t="n">
        <f aca="false">G13-G17</f>
        <v>1</v>
      </c>
      <c r="H22" s="3" t="n">
        <f aca="false">H13-H17</f>
        <v>1</v>
      </c>
      <c r="I22" s="3" t="n">
        <f aca="false">I13-I17</f>
        <v>0</v>
      </c>
      <c r="J22" s="3" t="n">
        <f aca="false">J13-J17</f>
        <v>7</v>
      </c>
    </row>
    <row r="23" customFormat="false" ht="12.8" hidden="false" customHeight="false" outlineLevel="0" collapsed="false">
      <c r="A23" s="3" t="n">
        <f aca="false">A14+A16-A13</f>
        <v>0</v>
      </c>
      <c r="B23" s="3" t="n">
        <f aca="false">B14+B16-B13</f>
        <v>0</v>
      </c>
      <c r="C23" s="3" t="n">
        <f aca="false">C14+C16-C13</f>
        <v>0</v>
      </c>
      <c r="D23" s="2" t="n">
        <f aca="false">D14+D16-D13</f>
        <v>1</v>
      </c>
      <c r="E23" s="3" t="n">
        <f aca="false">E14+E16-E13</f>
        <v>0</v>
      </c>
      <c r="F23" s="3" t="n">
        <f aca="false">F14+F16-F13</f>
        <v>0</v>
      </c>
      <c r="G23" s="3" t="n">
        <f aca="false">G14+G16-G13</f>
        <v>1</v>
      </c>
      <c r="H23" s="3" t="n">
        <f aca="false">H14+H16-H13</f>
        <v>2</v>
      </c>
      <c r="I23" s="3" t="n">
        <f aca="false">I14+I16-I13</f>
        <v>1</v>
      </c>
      <c r="J23" s="3" t="n">
        <f aca="false">J14+J16-J13</f>
        <v>18</v>
      </c>
      <c r="L23" s="0" t="n">
        <f aca="false" t="array" ref="L23:T31">MINVERSE(L13:T21)</f>
        <v>9607679205057070</v>
      </c>
      <c r="M23" s="0" t="n">
        <v>-2401919801264270</v>
      </c>
      <c r="N23" s="0" t="n">
        <v>-4803839602528530</v>
      </c>
      <c r="O23" s="0" t="n">
        <v>2401919801264260</v>
      </c>
      <c r="P23" s="0" t="n">
        <v>2401919801264270</v>
      </c>
      <c r="Q23" s="0" t="n">
        <v>4803839602528540</v>
      </c>
      <c r="R23" s="0" t="n">
        <v>-2401919801264260</v>
      </c>
      <c r="S23" s="0" t="n">
        <v>2401919801264270</v>
      </c>
      <c r="T23" s="0" t="n">
        <v>-4803839602528540</v>
      </c>
      <c r="U23" s="0" t="e">
        <f aca="false">mmult</f>
        <v>#NAME?</v>
      </c>
    </row>
    <row r="24" customFormat="false" ht="12.8" hidden="false" customHeight="false" outlineLevel="0" collapsed="false">
      <c r="A24" s="2" t="n">
        <f aca="false">A15+A13</f>
        <v>1</v>
      </c>
      <c r="B24" s="3" t="n">
        <f aca="false">B15+B13</f>
        <v>0</v>
      </c>
      <c r="C24" s="3" t="n">
        <f aca="false">C15+C13</f>
        <v>0</v>
      </c>
      <c r="D24" s="3" t="n">
        <f aca="false">D15+D13</f>
        <v>0</v>
      </c>
      <c r="E24" s="3" t="n">
        <f aca="false">E15+E13</f>
        <v>0</v>
      </c>
      <c r="F24" s="3" t="n">
        <f aca="false">F15+F13</f>
        <v>-1</v>
      </c>
      <c r="G24" s="3" t="n">
        <f aca="false">G15+G13</f>
        <v>1</v>
      </c>
      <c r="H24" s="3" t="n">
        <f aca="false">H15+H13</f>
        <v>1</v>
      </c>
      <c r="I24" s="3" t="n">
        <f aca="false">I15+I13</f>
        <v>1</v>
      </c>
      <c r="J24" s="3" t="n">
        <f aca="false">J15+J13</f>
        <v>2</v>
      </c>
      <c r="L24" s="0" t="n">
        <v>-2401919801264270</v>
      </c>
      <c r="M24" s="0" t="n">
        <v>600479950316068</v>
      </c>
      <c r="N24" s="0" t="n">
        <v>1200959900632130</v>
      </c>
      <c r="O24" s="0" t="n">
        <v>-600479950316067</v>
      </c>
      <c r="P24" s="0" t="n">
        <v>-600479950316067</v>
      </c>
      <c r="Q24" s="0" t="n">
        <v>-1200959900632130</v>
      </c>
      <c r="R24" s="0" t="n">
        <v>600479950316067</v>
      </c>
      <c r="S24" s="0" t="n">
        <v>-600479950316067</v>
      </c>
      <c r="T24" s="0" t="n">
        <v>1200959900632130</v>
      </c>
    </row>
    <row r="25" customFormat="false" ht="12.8" hidden="false" customHeight="false" outlineLevel="0" collapsed="false">
      <c r="A25" s="3" t="n">
        <f aca="false">A16*2+A14-A18-A17</f>
        <v>0</v>
      </c>
      <c r="B25" s="3" t="n">
        <f aca="false">B16*2+B14-B18-B17</f>
        <v>0</v>
      </c>
      <c r="C25" s="3" t="n">
        <f aca="false">C16*2+C14-C18-C17</f>
        <v>0</v>
      </c>
      <c r="D25" s="3" t="n">
        <f aca="false">D16*2+D14-D18-D17</f>
        <v>0</v>
      </c>
      <c r="E25" s="3" t="n">
        <f aca="false">E16*2+E14-E18-E17</f>
        <v>0</v>
      </c>
      <c r="F25" s="3" t="n">
        <f aca="false">F16*2+F14-F18-F17</f>
        <v>0</v>
      </c>
      <c r="G25" s="2" t="n">
        <f aca="false">G16*2+G14-G18-G17</f>
        <v>1</v>
      </c>
      <c r="H25" s="3" t="n">
        <f aca="false">H16*2+H14-H18-H17</f>
        <v>3</v>
      </c>
      <c r="I25" s="3" t="n">
        <f aca="false">I16*2+I14-I18-I17</f>
        <v>1</v>
      </c>
      <c r="J25" s="3" t="n">
        <f aca="false">J16*2+J14-J18-J17</f>
        <v>10</v>
      </c>
      <c r="L25" s="0" t="n">
        <v>-4803839602528540</v>
      </c>
      <c r="M25" s="0" t="n">
        <v>1200959900632130</v>
      </c>
      <c r="N25" s="0" t="n">
        <v>2401919801264270</v>
      </c>
      <c r="O25" s="0" t="n">
        <v>-1200959900632130</v>
      </c>
      <c r="P25" s="0" t="n">
        <v>-1200959900632130</v>
      </c>
      <c r="Q25" s="0" t="n">
        <v>-2401919801264270</v>
      </c>
      <c r="R25" s="0" t="n">
        <v>1200959900632130</v>
      </c>
      <c r="S25" s="0" t="n">
        <v>-1200959900632140</v>
      </c>
      <c r="T25" s="0" t="n">
        <v>2401919801264270</v>
      </c>
    </row>
    <row r="26" customFormat="false" ht="12.8" hidden="false" customHeight="false" outlineLevel="0" collapsed="false">
      <c r="A26" s="3" t="n">
        <f aca="false">A17</f>
        <v>0</v>
      </c>
      <c r="B26" s="3" t="n">
        <f aca="false">B17</f>
        <v>0</v>
      </c>
      <c r="C26" s="3" t="n">
        <f aca="false">C17</f>
        <v>0</v>
      </c>
      <c r="D26" s="3" t="n">
        <f aca="false">D17</f>
        <v>0</v>
      </c>
      <c r="E26" s="2" t="n">
        <f aca="false">E17</f>
        <v>1</v>
      </c>
      <c r="F26" s="3" t="n">
        <f aca="false">F17</f>
        <v>0</v>
      </c>
      <c r="G26" s="3" t="n">
        <f aca="false">G17</f>
        <v>0</v>
      </c>
      <c r="H26" s="3" t="n">
        <f aca="false">H17</f>
        <v>-1</v>
      </c>
      <c r="I26" s="3" t="n">
        <f aca="false">I17</f>
        <v>0</v>
      </c>
      <c r="J26" s="3" t="n">
        <f aca="false">J17</f>
        <v>4</v>
      </c>
      <c r="L26" s="0" t="n">
        <v>2401919801264270</v>
      </c>
      <c r="M26" s="0" t="n">
        <v>-600479950316067</v>
      </c>
      <c r="N26" s="0" t="n">
        <v>-1200959900632130</v>
      </c>
      <c r="O26" s="0" t="n">
        <v>600479950316069</v>
      </c>
      <c r="P26" s="0" t="n">
        <v>600479950316067</v>
      </c>
      <c r="Q26" s="0" t="n">
        <v>1200959900632130</v>
      </c>
      <c r="R26" s="0" t="n">
        <v>-600479950316067</v>
      </c>
      <c r="S26" s="0" t="n">
        <v>600479950316066</v>
      </c>
      <c r="T26" s="0" t="n">
        <v>-1200959900632130</v>
      </c>
    </row>
    <row r="27" customFormat="false" ht="12.8" hidden="false" customHeight="false" outlineLevel="0" collapsed="false">
      <c r="A27" s="3" t="n">
        <f aca="false">A18</f>
        <v>0</v>
      </c>
      <c r="B27" s="3" t="n">
        <f aca="false">B18</f>
        <v>0</v>
      </c>
      <c r="C27" s="3" t="n">
        <f aca="false">C18</f>
        <v>0</v>
      </c>
      <c r="D27" s="3" t="n">
        <f aca="false">D18</f>
        <v>0</v>
      </c>
      <c r="E27" s="3" t="n">
        <f aca="false">E18</f>
        <v>0</v>
      </c>
      <c r="F27" s="2" t="n">
        <f aca="false">F18</f>
        <v>1</v>
      </c>
      <c r="G27" s="3" t="n">
        <f aca="false">G18</f>
        <v>1</v>
      </c>
      <c r="H27" s="3" t="n">
        <f aca="false">H18</f>
        <v>1</v>
      </c>
      <c r="I27" s="3" t="n">
        <f aca="false">I18</f>
        <v>1</v>
      </c>
      <c r="J27" s="3" t="n">
        <f aca="false">J18</f>
        <v>27</v>
      </c>
      <c r="L27" s="0" t="n">
        <v>2401919801264270</v>
      </c>
      <c r="M27" s="0" t="n">
        <v>-600479950316067</v>
      </c>
      <c r="N27" s="0" t="n">
        <v>-1200959900632140</v>
      </c>
      <c r="O27" s="0" t="n">
        <v>600479950316067</v>
      </c>
      <c r="P27" s="0" t="n">
        <v>600479950316069</v>
      </c>
      <c r="Q27" s="0" t="n">
        <v>1200959900632130</v>
      </c>
      <c r="R27" s="0" t="n">
        <v>-600479950316069</v>
      </c>
      <c r="S27" s="0" t="n">
        <v>600479950316069</v>
      </c>
      <c r="T27" s="0" t="n">
        <v>-1200959900632130</v>
      </c>
    </row>
    <row r="28" customFormat="false" ht="12.8" hidden="false" customHeight="false" outlineLevel="0" collapsed="false">
      <c r="A28" s="3" t="n">
        <f aca="false">A19-A16</f>
        <v>0</v>
      </c>
      <c r="B28" s="3" t="n">
        <f aca="false">B19-B16</f>
        <v>0</v>
      </c>
      <c r="C28" s="2" t="n">
        <f aca="false">C19-C16</f>
        <v>1</v>
      </c>
      <c r="D28" s="3" t="n">
        <f aca="false">D19-D16</f>
        <v>0</v>
      </c>
      <c r="E28" s="3" t="n">
        <f aca="false">E19-E16</f>
        <v>0</v>
      </c>
      <c r="F28" s="3" t="n">
        <f aca="false">F19-F16</f>
        <v>0</v>
      </c>
      <c r="G28" s="3" t="n">
        <f aca="false">G19-G16</f>
        <v>-1</v>
      </c>
      <c r="H28" s="3" t="n">
        <f aca="false">H19-H16</f>
        <v>-1</v>
      </c>
      <c r="I28" s="3" t="n">
        <f aca="false">I19-I16</f>
        <v>-1</v>
      </c>
      <c r="J28" s="3" t="n">
        <f aca="false">J19-J16</f>
        <v>9</v>
      </c>
      <c r="L28" s="0" t="n">
        <v>4803839602528540</v>
      </c>
      <c r="M28" s="0" t="n">
        <v>-1200959900632130</v>
      </c>
      <c r="N28" s="0" t="n">
        <v>-2401919801264270</v>
      </c>
      <c r="O28" s="0" t="n">
        <v>1200959900632130</v>
      </c>
      <c r="P28" s="0" t="n">
        <v>1200959900632130</v>
      </c>
      <c r="Q28" s="0" t="n">
        <v>2401919801264270</v>
      </c>
      <c r="R28" s="0" t="n">
        <v>-1200959900632130</v>
      </c>
      <c r="S28" s="0" t="n">
        <v>1200959900632130</v>
      </c>
      <c r="T28" s="0" t="n">
        <v>-2401919801264270</v>
      </c>
    </row>
    <row r="29" customFormat="false" ht="12.8" hidden="false" customHeight="false" outlineLevel="0" collapsed="false">
      <c r="L29" s="0" t="n">
        <v>-2401919801264270</v>
      </c>
      <c r="M29" s="0" t="n">
        <v>600479950316067</v>
      </c>
      <c r="N29" s="0" t="n">
        <v>1200959900632140</v>
      </c>
      <c r="O29" s="0" t="n">
        <v>-600479950316068</v>
      </c>
      <c r="P29" s="0" t="n">
        <v>-600479950316069</v>
      </c>
      <c r="Q29" s="0" t="n">
        <v>-1200959900632130</v>
      </c>
      <c r="R29" s="0" t="n">
        <v>600479950316070</v>
      </c>
      <c r="S29" s="0" t="n">
        <v>-600479950316069</v>
      </c>
      <c r="T29" s="0" t="n">
        <v>1200959900632130</v>
      </c>
    </row>
    <row r="30" customFormat="false" ht="12.8" hidden="false" customHeight="false" outlineLevel="0" collapsed="false">
      <c r="A30" s="0" t="n">
        <f aca="false">A21-A27</f>
        <v>0</v>
      </c>
      <c r="B30" s="8" t="n">
        <f aca="false">B21-B27</f>
        <v>1</v>
      </c>
      <c r="C30" s="0" t="n">
        <f aca="false">C21-C27</f>
        <v>0</v>
      </c>
      <c r="D30" s="0" t="n">
        <f aca="false">D21-D27</f>
        <v>0</v>
      </c>
      <c r="E30" s="0" t="n">
        <f aca="false">E21-E27</f>
        <v>0</v>
      </c>
      <c r="F30" s="0" t="n">
        <f aca="false">F21-F27</f>
        <v>0</v>
      </c>
      <c r="G30" s="0" t="n">
        <f aca="false">G21-G27</f>
        <v>0</v>
      </c>
      <c r="H30" s="0" t="n">
        <f aca="false">H21-H27</f>
        <v>1</v>
      </c>
      <c r="I30" s="0" t="n">
        <f aca="false">I21-I27</f>
        <v>0</v>
      </c>
      <c r="J30" s="0" t="n">
        <f aca="false">J21-J27</f>
        <v>14</v>
      </c>
      <c r="L30" s="0" t="n">
        <v>2401919801264270</v>
      </c>
      <c r="M30" s="0" t="n">
        <v>-600479950316067</v>
      </c>
      <c r="N30" s="0" t="n">
        <v>-1200959900632140</v>
      </c>
      <c r="O30" s="0" t="n">
        <v>600479950316066</v>
      </c>
      <c r="P30" s="0" t="n">
        <v>600479950316069</v>
      </c>
      <c r="Q30" s="0" t="n">
        <v>1200959900632130</v>
      </c>
      <c r="R30" s="0" t="n">
        <v>-600479950316068</v>
      </c>
      <c r="S30" s="0" t="n">
        <v>600479950316071</v>
      </c>
      <c r="T30" s="0" t="n">
        <v>-1200959900632140</v>
      </c>
    </row>
    <row r="31" customFormat="false" ht="12.8" hidden="false" customHeight="false" outlineLevel="0" collapsed="false">
      <c r="A31" s="0" t="n">
        <f aca="false">A22</f>
        <v>0</v>
      </c>
      <c r="B31" s="0" t="n">
        <f aca="false">B22</f>
        <v>0</v>
      </c>
      <c r="C31" s="0" t="n">
        <f aca="false">C22</f>
        <v>0</v>
      </c>
      <c r="D31" s="0" t="n">
        <f aca="false">D22</f>
        <v>0</v>
      </c>
      <c r="E31" s="0" t="n">
        <f aca="false">E22</f>
        <v>0</v>
      </c>
      <c r="F31" s="0" t="n">
        <f aca="false">F22</f>
        <v>0</v>
      </c>
      <c r="G31" s="8" t="n">
        <f aca="false">G22</f>
        <v>1</v>
      </c>
      <c r="H31" s="0" t="n">
        <f aca="false">H22</f>
        <v>1</v>
      </c>
      <c r="I31" s="0" t="n">
        <f aca="false">I22</f>
        <v>0</v>
      </c>
      <c r="J31" s="0" t="n">
        <f aca="false">J22</f>
        <v>7</v>
      </c>
      <c r="L31" s="0" t="n">
        <v>-4803839602528540</v>
      </c>
      <c r="M31" s="0" t="n">
        <v>1200959900632130</v>
      </c>
      <c r="N31" s="0" t="n">
        <v>2401919801264270</v>
      </c>
      <c r="O31" s="0" t="n">
        <v>-1200959900632130</v>
      </c>
      <c r="P31" s="0" t="n">
        <v>-1200959900632130</v>
      </c>
      <c r="Q31" s="0" t="n">
        <v>-2401919801264270</v>
      </c>
      <c r="R31" s="0" t="n">
        <v>1200959900632130</v>
      </c>
      <c r="S31" s="0" t="n">
        <v>-1200959900632140</v>
      </c>
      <c r="T31" s="0" t="n">
        <v>2401919801264270</v>
      </c>
    </row>
    <row r="32" customFormat="false" ht="12.8" hidden="false" customHeight="false" outlineLevel="0" collapsed="false">
      <c r="A32" s="0" t="n">
        <f aca="false">A23-A22</f>
        <v>0</v>
      </c>
      <c r="B32" s="0" t="n">
        <f aca="false">B23-B22</f>
        <v>0</v>
      </c>
      <c r="C32" s="0" t="n">
        <f aca="false">C23-C22</f>
        <v>0</v>
      </c>
      <c r="D32" s="8" t="n">
        <f aca="false">D23-D22</f>
        <v>1</v>
      </c>
      <c r="E32" s="0" t="n">
        <f aca="false">E23-E22</f>
        <v>0</v>
      </c>
      <c r="F32" s="0" t="n">
        <f aca="false">F23-F22</f>
        <v>0</v>
      </c>
      <c r="G32" s="0" t="n">
        <f aca="false">G23-G22</f>
        <v>0</v>
      </c>
      <c r="H32" s="0" t="n">
        <f aca="false">H23-H22</f>
        <v>1</v>
      </c>
      <c r="I32" s="0" t="n">
        <f aca="false">I23-I22</f>
        <v>1</v>
      </c>
      <c r="J32" s="0" t="n">
        <f aca="false">J23-J22</f>
        <v>11</v>
      </c>
    </row>
    <row r="33" customFormat="false" ht="12.8" hidden="false" customHeight="false" outlineLevel="0" collapsed="false">
      <c r="A33" s="8" t="n">
        <f aca="false">A24+A27-2*A22</f>
        <v>1</v>
      </c>
      <c r="B33" s="0" t="n">
        <f aca="false">B24+B27-2*B22</f>
        <v>0</v>
      </c>
      <c r="C33" s="0" t="n">
        <f aca="false">C24+C27-2*C22</f>
        <v>0</v>
      </c>
      <c r="D33" s="0" t="n">
        <f aca="false">D24+D27-2*D22</f>
        <v>0</v>
      </c>
      <c r="E33" s="0" t="n">
        <f aca="false">E24+E27-2*E22</f>
        <v>0</v>
      </c>
      <c r="F33" s="0" t="n">
        <f aca="false">F24+F27-2*F22</f>
        <v>0</v>
      </c>
      <c r="G33" s="0" t="n">
        <f aca="false">G24+G27-2*G22</f>
        <v>0</v>
      </c>
      <c r="H33" s="0" t="n">
        <f aca="false">H24+H27-2*H22</f>
        <v>0</v>
      </c>
      <c r="I33" s="0" t="n">
        <f aca="false">I24+I27-2*I22</f>
        <v>2</v>
      </c>
      <c r="J33" s="0" t="n">
        <f aca="false">J24+J27-2*J22</f>
        <v>15</v>
      </c>
    </row>
    <row r="34" customFormat="false" ht="12.8" hidden="false" customHeight="false" outlineLevel="0" collapsed="false">
      <c r="A34" s="0" t="n">
        <f aca="false">A25-A22</f>
        <v>0</v>
      </c>
      <c r="B34" s="0" t="n">
        <f aca="false">B25-B22</f>
        <v>0</v>
      </c>
      <c r="C34" s="0" t="n">
        <f aca="false">C25-C22</f>
        <v>0</v>
      </c>
      <c r="D34" s="0" t="n">
        <f aca="false">D25-D22</f>
        <v>0</v>
      </c>
      <c r="E34" s="0" t="n">
        <f aca="false">E25-E22</f>
        <v>0</v>
      </c>
      <c r="F34" s="0" t="n">
        <f aca="false">F25-F22</f>
        <v>0</v>
      </c>
      <c r="G34" s="0" t="n">
        <f aca="false">G25-G22</f>
        <v>0</v>
      </c>
      <c r="H34" s="8" t="n">
        <f aca="false">H25-H22</f>
        <v>2</v>
      </c>
      <c r="I34" s="0" t="n">
        <f aca="false">I25-I22</f>
        <v>1</v>
      </c>
      <c r="J34" s="0" t="n">
        <f aca="false">J25-J22</f>
        <v>3</v>
      </c>
    </row>
    <row r="35" customFormat="false" ht="12.8" hidden="false" customHeight="false" outlineLevel="0" collapsed="false">
      <c r="A35" s="0" t="n">
        <f aca="false">A26</f>
        <v>0</v>
      </c>
      <c r="B35" s="0" t="n">
        <f aca="false">B26</f>
        <v>0</v>
      </c>
      <c r="C35" s="0" t="n">
        <f aca="false">C26</f>
        <v>0</v>
      </c>
      <c r="D35" s="0" t="n">
        <f aca="false">D26</f>
        <v>0</v>
      </c>
      <c r="E35" s="8" t="n">
        <f aca="false">E26</f>
        <v>1</v>
      </c>
      <c r="F35" s="0" t="n">
        <f aca="false">F26</f>
        <v>0</v>
      </c>
      <c r="G35" s="0" t="n">
        <f aca="false">G26</f>
        <v>0</v>
      </c>
      <c r="H35" s="0" t="n">
        <f aca="false">H26</f>
        <v>-1</v>
      </c>
      <c r="I35" s="0" t="n">
        <f aca="false">I26</f>
        <v>0</v>
      </c>
      <c r="J35" s="0" t="n">
        <f aca="false">J26</f>
        <v>4</v>
      </c>
    </row>
    <row r="36" customFormat="false" ht="12.8" hidden="false" customHeight="false" outlineLevel="0" collapsed="false">
      <c r="A36" s="0" t="n">
        <f aca="false">A27-A22</f>
        <v>0</v>
      </c>
      <c r="B36" s="0" t="n">
        <f aca="false">B27-B22</f>
        <v>0</v>
      </c>
      <c r="C36" s="0" t="n">
        <f aca="false">C27-C22</f>
        <v>0</v>
      </c>
      <c r="D36" s="0" t="n">
        <f aca="false">D27-D22</f>
        <v>0</v>
      </c>
      <c r="E36" s="0" t="n">
        <f aca="false">E27-E22</f>
        <v>0</v>
      </c>
      <c r="F36" s="8" t="n">
        <f aca="false">F27-F22</f>
        <v>1</v>
      </c>
      <c r="G36" s="0" t="n">
        <f aca="false">G27-G22</f>
        <v>0</v>
      </c>
      <c r="H36" s="0" t="n">
        <f aca="false">H27-H22</f>
        <v>0</v>
      </c>
      <c r="I36" s="0" t="n">
        <f aca="false">I27-I22</f>
        <v>1</v>
      </c>
      <c r="J36" s="0" t="n">
        <f aca="false">J27-J22</f>
        <v>20</v>
      </c>
    </row>
    <row r="37" customFormat="false" ht="12.8" hidden="false" customHeight="false" outlineLevel="0" collapsed="false">
      <c r="A37" s="0" t="n">
        <f aca="false">A28+A22</f>
        <v>0</v>
      </c>
      <c r="B37" s="0" t="n">
        <f aca="false">B28+B22</f>
        <v>0</v>
      </c>
      <c r="C37" s="8" t="n">
        <f aca="false">C28+C22</f>
        <v>1</v>
      </c>
      <c r="D37" s="0" t="n">
        <f aca="false">D28+D22</f>
        <v>0</v>
      </c>
      <c r="E37" s="0" t="n">
        <f aca="false">E28+E22</f>
        <v>0</v>
      </c>
      <c r="F37" s="0" t="n">
        <f aca="false">F28+F22</f>
        <v>0</v>
      </c>
      <c r="G37" s="0" t="n">
        <f aca="false">G28+G22</f>
        <v>0</v>
      </c>
      <c r="H37" s="0" t="n">
        <f aca="false">H28+H22</f>
        <v>0</v>
      </c>
      <c r="I37" s="0" t="n">
        <f aca="false">I28+I22</f>
        <v>-1</v>
      </c>
      <c r="J37" s="0" t="n">
        <f aca="false">J28+J22</f>
        <v>16</v>
      </c>
    </row>
    <row r="38" customFormat="false" ht="12.8" hidden="false" customHeight="false" outlineLevel="0" collapsed="false">
      <c r="L38" s="0" t="s">
        <v>16</v>
      </c>
      <c r="M38" s="0" t="s">
        <v>17</v>
      </c>
    </row>
    <row r="39" customFormat="false" ht="12.8" hidden="false" customHeight="false" outlineLevel="0" collapsed="false">
      <c r="A39" s="0" t="n">
        <f aca="false">A33</f>
        <v>1</v>
      </c>
      <c r="B39" s="0" t="n">
        <f aca="false">B33</f>
        <v>0</v>
      </c>
      <c r="C39" s="0" t="n">
        <f aca="false">C33</f>
        <v>0</v>
      </c>
      <c r="D39" s="0" t="n">
        <f aca="false">D33</f>
        <v>0</v>
      </c>
      <c r="E39" s="0" t="n">
        <f aca="false">E33</f>
        <v>0</v>
      </c>
      <c r="F39" s="0" t="n">
        <f aca="false">F33</f>
        <v>0</v>
      </c>
      <c r="G39" s="0" t="n">
        <f aca="false">G33</f>
        <v>0</v>
      </c>
      <c r="H39" s="0" t="n">
        <f aca="false">H33</f>
        <v>0</v>
      </c>
      <c r="I39" s="0" t="n">
        <f aca="false">I33</f>
        <v>2</v>
      </c>
      <c r="J39" s="0" t="n">
        <f aca="false">J33</f>
        <v>15</v>
      </c>
      <c r="L39" s="0" t="n">
        <v>7</v>
      </c>
      <c r="M39" s="9" t="n">
        <f aca="false" t="array" ref="M39:M46">MMULT(A3:I10,L39:L47)</f>
        <v>29</v>
      </c>
      <c r="N39" s="0" t="b">
        <f aca="false">(M39=J3)</f>
        <v>1</v>
      </c>
    </row>
    <row r="40" customFormat="false" ht="12.8" hidden="false" customHeight="false" outlineLevel="0" collapsed="false">
      <c r="A40" s="0" t="n">
        <f aca="false">A30*2-A34</f>
        <v>0</v>
      </c>
      <c r="B40" s="0" t="n">
        <f aca="false">B30*2-B34</f>
        <v>2</v>
      </c>
      <c r="C40" s="0" t="n">
        <f aca="false">C30*2-C34</f>
        <v>0</v>
      </c>
      <c r="D40" s="0" t="n">
        <f aca="false">D30*2-D34</f>
        <v>0</v>
      </c>
      <c r="E40" s="0" t="n">
        <f aca="false">E30*2-E34</f>
        <v>0</v>
      </c>
      <c r="F40" s="0" t="n">
        <f aca="false">F30*2-F34</f>
        <v>0</v>
      </c>
      <c r="G40" s="0" t="n">
        <f aca="false">G30*2-G34</f>
        <v>0</v>
      </c>
      <c r="H40" s="0" t="n">
        <f aca="false">H30*2-H34</f>
        <v>0</v>
      </c>
      <c r="I40" s="0" t="n">
        <f aca="false">I30*2-I34</f>
        <v>-1</v>
      </c>
      <c r="J40" s="0" t="n">
        <f aca="false">J30*2-J34</f>
        <v>25</v>
      </c>
      <c r="L40" s="0" t="n">
        <v>14.5</v>
      </c>
      <c r="M40" s="0" t="n">
        <v>11</v>
      </c>
      <c r="N40" s="0" t="n">
        <f aca="false">(M40=J4)</f>
        <v>1</v>
      </c>
    </row>
    <row r="41" customFormat="false" ht="12.8" hidden="false" customHeight="false" outlineLevel="0" collapsed="false">
      <c r="A41" s="0" t="n">
        <f aca="false">A37</f>
        <v>0</v>
      </c>
      <c r="B41" s="0" t="n">
        <f aca="false">B37</f>
        <v>0</v>
      </c>
      <c r="C41" s="0" t="n">
        <f aca="false">C37</f>
        <v>1</v>
      </c>
      <c r="D41" s="0" t="n">
        <f aca="false">D37</f>
        <v>0</v>
      </c>
      <c r="E41" s="0" t="n">
        <f aca="false">E37</f>
        <v>0</v>
      </c>
      <c r="F41" s="0" t="n">
        <f aca="false">F37</f>
        <v>0</v>
      </c>
      <c r="G41" s="0" t="n">
        <f aca="false">G37</f>
        <v>0</v>
      </c>
      <c r="H41" s="0" t="n">
        <f aca="false">H37</f>
        <v>0</v>
      </c>
      <c r="I41" s="0" t="n">
        <f aca="false">I37</f>
        <v>-1</v>
      </c>
      <c r="J41" s="0" t="n">
        <f aca="false">J37</f>
        <v>16</v>
      </c>
      <c r="L41" s="0" t="n">
        <v>20</v>
      </c>
      <c r="M41" s="0" t="n">
        <v>38</v>
      </c>
      <c r="N41" s="0" t="n">
        <f aca="false">(M41=J5)</f>
        <v>1</v>
      </c>
    </row>
    <row r="42" customFormat="false" ht="12.8" hidden="false" customHeight="false" outlineLevel="0" collapsed="false">
      <c r="A42" s="0" t="n">
        <f aca="false">A32*2-A34</f>
        <v>0</v>
      </c>
      <c r="B42" s="0" t="n">
        <f aca="false">B32*2-B34</f>
        <v>0</v>
      </c>
      <c r="C42" s="0" t="n">
        <f aca="false">C32*2-C34</f>
        <v>0</v>
      </c>
      <c r="D42" s="0" t="n">
        <f aca="false">D32*2-D34</f>
        <v>2</v>
      </c>
      <c r="E42" s="0" t="n">
        <f aca="false">E32*2-E34</f>
        <v>0</v>
      </c>
      <c r="F42" s="0" t="n">
        <f aca="false">F32*2-F34</f>
        <v>0</v>
      </c>
      <c r="G42" s="0" t="n">
        <f aca="false">G32*2-G34</f>
        <v>0</v>
      </c>
      <c r="H42" s="0" t="n">
        <f aca="false">H32*2-H34</f>
        <v>0</v>
      </c>
      <c r="I42" s="0" t="n">
        <f aca="false">I32*2-I34</f>
        <v>1</v>
      </c>
      <c r="J42" s="0" t="n">
        <f aca="false">J32*2-J34</f>
        <v>19</v>
      </c>
      <c r="L42" s="0" t="n">
        <v>7.5</v>
      </c>
      <c r="M42" s="0" t="n">
        <v>45</v>
      </c>
      <c r="N42" s="0" t="n">
        <f aca="false">(M42=J6)</f>
        <v>1</v>
      </c>
    </row>
    <row r="43" customFormat="false" ht="12.8" hidden="false" customHeight="false" outlineLevel="0" collapsed="false">
      <c r="A43" s="0" t="n">
        <f aca="false">A35*2+A34</f>
        <v>0</v>
      </c>
      <c r="B43" s="0" t="n">
        <f aca="false">B35*2+B34</f>
        <v>0</v>
      </c>
      <c r="C43" s="0" t="n">
        <f aca="false">C35*2+C34</f>
        <v>0</v>
      </c>
      <c r="D43" s="0" t="n">
        <f aca="false">D35*2+D34</f>
        <v>0</v>
      </c>
      <c r="E43" s="0" t="n">
        <f aca="false">E35*2+E34</f>
        <v>2</v>
      </c>
      <c r="F43" s="0" t="n">
        <f aca="false">F35*2+F34</f>
        <v>0</v>
      </c>
      <c r="G43" s="0" t="n">
        <f aca="false">G35*2+G34</f>
        <v>0</v>
      </c>
      <c r="H43" s="0" t="n">
        <f aca="false">H35*2+H34</f>
        <v>0</v>
      </c>
      <c r="I43" s="0" t="n">
        <f aca="false">I35*2+I34</f>
        <v>1</v>
      </c>
      <c r="J43" s="0" t="n">
        <f aca="false">J35*2+J34</f>
        <v>11</v>
      </c>
      <c r="L43" s="0" t="n">
        <v>3.5</v>
      </c>
      <c r="M43" s="0" t="n">
        <v>45</v>
      </c>
      <c r="N43" s="0" t="n">
        <f aca="false">(M43=J7)</f>
        <v>1</v>
      </c>
    </row>
    <row r="44" customFormat="false" ht="12.8" hidden="false" customHeight="false" outlineLevel="0" collapsed="false">
      <c r="A44" s="0" t="n">
        <f aca="false">A36</f>
        <v>0</v>
      </c>
      <c r="B44" s="0" t="n">
        <f aca="false">B36</f>
        <v>0</v>
      </c>
      <c r="C44" s="0" t="n">
        <f aca="false">C36</f>
        <v>0</v>
      </c>
      <c r="D44" s="0" t="n">
        <f aca="false">D36</f>
        <v>0</v>
      </c>
      <c r="E44" s="0" t="n">
        <f aca="false">E36</f>
        <v>0</v>
      </c>
      <c r="F44" s="0" t="n">
        <f aca="false">F36</f>
        <v>1</v>
      </c>
      <c r="G44" s="0" t="n">
        <f aca="false">G36</f>
        <v>0</v>
      </c>
      <c r="H44" s="0" t="n">
        <f aca="false">H36</f>
        <v>0</v>
      </c>
      <c r="I44" s="0" t="n">
        <f aca="false">I36</f>
        <v>1</v>
      </c>
      <c r="J44" s="0" t="n">
        <f aca="false">J36</f>
        <v>20</v>
      </c>
      <c r="L44" s="0" t="n">
        <v>16</v>
      </c>
      <c r="M44" s="0" t="n">
        <v>33</v>
      </c>
      <c r="N44" s="0" t="n">
        <f aca="false">(M44=J8)</f>
        <v>1</v>
      </c>
    </row>
    <row r="45" customFormat="false" ht="12.8" hidden="false" customHeight="false" outlineLevel="0" collapsed="false">
      <c r="A45" s="0" t="n">
        <f aca="false">A31</f>
        <v>0</v>
      </c>
      <c r="B45" s="0" t="n">
        <f aca="false">B31</f>
        <v>0</v>
      </c>
      <c r="C45" s="0" t="n">
        <f aca="false">C31</f>
        <v>0</v>
      </c>
      <c r="D45" s="0" t="n">
        <f aca="false">D31</f>
        <v>0</v>
      </c>
      <c r="E45" s="0" t="n">
        <f aca="false">E31</f>
        <v>0</v>
      </c>
      <c r="F45" s="0" t="n">
        <f aca="false">F31</f>
        <v>0</v>
      </c>
      <c r="G45" s="0" t="n">
        <f aca="false">G31</f>
        <v>1</v>
      </c>
      <c r="H45" s="0" t="n">
        <f aca="false">H31</f>
        <v>1</v>
      </c>
      <c r="I45" s="0" t="n">
        <f aca="false">I31</f>
        <v>0</v>
      </c>
      <c r="J45" s="0" t="n">
        <f aca="false">J31</f>
        <v>7</v>
      </c>
      <c r="L45" s="0" t="n">
        <v>7.5</v>
      </c>
      <c r="M45" s="0" t="n">
        <v>27</v>
      </c>
      <c r="N45" s="0" t="n">
        <f aca="false">(M45=J9)</f>
        <v>1</v>
      </c>
    </row>
    <row r="46" customFormat="false" ht="12.8" hidden="false" customHeight="false" outlineLevel="0" collapsed="false">
      <c r="A46" s="0" t="n">
        <f aca="false">A34</f>
        <v>0</v>
      </c>
      <c r="B46" s="0" t="n">
        <f aca="false">B34</f>
        <v>0</v>
      </c>
      <c r="C46" s="0" t="n">
        <f aca="false">C34</f>
        <v>0</v>
      </c>
      <c r="D46" s="0" t="n">
        <f aca="false">D34</f>
        <v>0</v>
      </c>
      <c r="E46" s="0" t="n">
        <f aca="false">E34</f>
        <v>0</v>
      </c>
      <c r="F46" s="0" t="n">
        <f aca="false">F34</f>
        <v>0</v>
      </c>
      <c r="G46" s="0" t="n">
        <f aca="false">G34</f>
        <v>0</v>
      </c>
      <c r="H46" s="0" t="n">
        <f aca="false">H34</f>
        <v>2</v>
      </c>
      <c r="I46" s="0" t="n">
        <f aca="false">I34</f>
        <v>1</v>
      </c>
      <c r="J46" s="0" t="n">
        <f aca="false">J34</f>
        <v>3</v>
      </c>
      <c r="L46" s="0" t="n">
        <v>-0.5</v>
      </c>
      <c r="M46" s="0" t="n">
        <v>54</v>
      </c>
      <c r="N46" s="0" t="n">
        <f aca="false">(M46=J10)</f>
        <v>1</v>
      </c>
    </row>
    <row r="47" customFormat="false" ht="12.8" hidden="false" customHeight="false" outlineLevel="0" collapsed="false">
      <c r="L47" s="0" t="n">
        <v>4</v>
      </c>
    </row>
    <row r="48" customFormat="false" ht="12.8" hidden="false" customHeight="false" outlineLevel="0" collapsed="false">
      <c r="J48" s="0" t="n">
        <f aca="false">SUM(J39:J46)</f>
        <v>116</v>
      </c>
      <c r="L48" s="0" t="n">
        <f aca="false">SUM(L39:L46)</f>
        <v>75.5</v>
      </c>
      <c r="M48" s="0" t="n">
        <f aca="false">SUM(M39:M46)</f>
        <v>282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2025-12-13T13:52:22Z</dcterms:created>
  <dc:creator/>
  <dc:description/>
  <dc:language>en-GB</dc:language>
  <cp:lastModifiedBy/>
  <dcterms:modified xsi:type="dcterms:W3CDTF">2025-12-15T20:44:53Z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